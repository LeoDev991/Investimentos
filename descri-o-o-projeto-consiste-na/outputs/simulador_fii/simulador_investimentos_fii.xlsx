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ba6ca3c98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4c1307e47e941c1"/>
    <x:sheet xmlns:r="http://schemas.openxmlformats.org/officeDocument/2006/relationships" name="Premissas" sheetId="2" r:id="R76bc9bff7e7e4911"/>
    <x:sheet xmlns:r="http://schemas.openxmlformats.org/officeDocument/2006/relationships" name="Simulacao" sheetId="3" r:id="R0cd7df9f9f0b4210"/>
    <x:sheet xmlns:r="http://schemas.openxmlformats.org/officeDocument/2006/relationships" name="Checks" sheetId="4" r:id="Rb7f01ad81d0b449b"/>
    <x:sheet xmlns:r="http://schemas.openxmlformats.org/officeDocument/2006/relationships" name="Fontes" sheetId="5" r:id="R515dd6283bf04fa5"/>
  </x:sheets>
</x:workbook>
</file>

<file path=xl/comments1.xml><?xml version="1.0" encoding="utf-8"?>
<x:comments xmlns:x="http://schemas.openxmlformats.org/spreadsheetml/2006/main">
  <x:authors>
    <x:author>tc={69A7C512-2CBB-1FAF-E48E-6FB559370FC0}</x:author>
    <x:author>tc={2A859974-AD66-FCB1-E04A-E075DAB62188}</x:author>
    <x:author>tc={88ADCC37-FFCD-905B-EA69-F63E9DFCBB0D}</x:author>
    <x:author>tc={EC63BB72-68D0-FCBF-3778-6B11C73EC660}</x:author>
    <x:author>tc={77BD5781-B539-1749-54BD-4981DE2AE7A6}</x:author>
    <x:author>tc={D7E62122-6ED5-6DE9-501B-3C47BED9856E}</x:author>
    <x:author>tc={B73B6469-3B52-41C6-9058-067BB67D95E1}</x:author>
    <x:author>tc={793A39B5-56AA-2290-5B2C-3F0A23CE0C87}</x:author>
    <x:author>tc={749C57C7-96CA-36AB-E715-AB3C5F0E96C0}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capital inicial editavel.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aporte mensal editavel.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preco medio estimado por cota.</x:t>
        </x:r>
      </x:text>
    </x:comment>
    <x:comment ref="B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dividend yield mensal estimado.</x:t>
        </x:r>
      </x:text>
    </x:comment>
    <x:comment ref="B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valorizacao mensal estimada da cota.</x:t>
        </x:r>
      </x:text>
    </x:comment>
    <x:comment ref="B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horizonte limitado a 120 meses.</x:t>
        </x:r>
      </x:text>
    </x:comment>
    <x:comment ref="B1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opcao de reinvestimento dos dividendos.</x:t>
        </x:r>
      </x:text>
    </x:comment>
    <x:comment ref="B1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mes inicial da simulacao.</x:t>
        </x:r>
      </x:text>
    </x:comment>
    <x:comment ref="B1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valor informado pelo usuario | Date: 2026-09-16 | Notes: custos ou taxas mensais estimadas.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;[Red]($#,##0);-"/>
    <x:numFmt numFmtId="201" formatCode="0.00%;[Red](0.00%);-"/>
    <x:numFmt numFmtId="202" formatCode="#,##0"/>
    <x:numFmt numFmtId="203" formatCode="mmm yyyy"/>
    <x:numFmt numFmtId="204" formatCode="$#,##0.00;[Red]($#,##0.00);-"/>
    <x:numFmt numFmtId="205" formatCode="#,##0.0000"/>
    <x:numFmt numFmtId="206" formatCode="0.0%;[Red](0.0%);-"/>
    <x:numFmt numFmtId="207" formatCode="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404040"/>
      <x:name val="Carlito"/>
    </x:font>
    <x:font>
      <x:sz val="11"/>
      <x:color rgb="FF000000"/>
      <x:name val="Carlito"/>
    </x:font>
    <x:font>
      <x:b/>
      <x:sz val="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27">
    <x:border/>
    <x:border>
      <x:left style="thin">
        <x:color rgb="FF12355B"/>
      </x:left>
      <x:top style="thin">
        <x:color rgb="FF12355B"/>
      </x:top>
      <x:bottom style="thin">
        <x:color rgb="FF12355B"/>
      </x:bottom>
    </x:border>
    <x:border>
      <x:top style="thin">
        <x:color rgb="FF12355B"/>
      </x:top>
      <x:bottom style="thin">
        <x:color rgb="FF12355B"/>
      </x:bottom>
    </x:border>
    <x:border>
      <x:right style="thin">
        <x:color rgb="FF12355B"/>
      </x:right>
      <x:top style="thin">
        <x:color rgb="FF12355B"/>
      </x:top>
      <x:bottom style="thin">
        <x:color rgb="FF12355B"/>
      </x:bottom>
    </x:border>
    <x:border>
      <x:left style="thin">
        <x:color rgb="FFA6A6A6"/>
      </x:left>
      <x:top style="thin">
        <x:color rgb="FFA6A6A6"/>
      </x:top>
      <x:bottom style="thin">
        <x:color rgb="FFD9E2EC"/>
      </x:bottom>
    </x:border>
    <x:border>
      <x:top style="thin">
        <x:color rgb="FFA6A6A6"/>
      </x:top>
      <x:bottom style="thin">
        <x:color rgb="FFD9E2EC"/>
      </x:bottom>
    </x:border>
    <x:border>
      <x:right style="thin">
        <x:color rgb="FFA6A6A6"/>
      </x:right>
      <x:top style="thin">
        <x:color rgb="FFA6A6A6"/>
      </x:top>
      <x:bottom style="thin">
        <x:color rgb="FFD9E2EC"/>
      </x:bottom>
    </x:border>
    <x:border>
      <x:left style="thin">
        <x:color rgb="FFA6A6A6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A6A6A6"/>
      </x:right>
      <x:top style="thin">
        <x:color rgb="FFD9E2EC"/>
      </x:top>
      <x:bottom style="thin">
        <x:color rgb="FFD9E2EC"/>
      </x:bottom>
    </x:border>
    <x:border>
      <x:left style="thin">
        <x:color rgb="FFA6A6A6"/>
      </x:left>
      <x:top style="thin">
        <x:color rgb="FFD9E2EC"/>
      </x:top>
      <x:bottom style="thin">
        <x:color rgb="FFA6A6A6"/>
      </x:bottom>
    </x:border>
    <x:border>
      <x:top style="thin">
        <x:color rgb="FFD9E2EC"/>
      </x:top>
      <x:bottom style="thin">
        <x:color rgb="FFA6A6A6"/>
      </x:bottom>
    </x:border>
    <x:border>
      <x:right style="thin">
        <x:color rgb="FFA6A6A6"/>
      </x:right>
      <x:top style="thin">
        <x:color rgb="FFD9E2EC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right style="thin">
        <x:color rgb="FFD9E2EC"/>
      </x:right>
      <x:top style="thin">
        <x:color rgb="FFA6A6A6"/>
      </x:top>
      <x:bottom style="thin">
        <x:color rgb="FF12355B"/>
      </x:bottom>
    </x:border>
    <x:border>
      <x:left style="thin">
        <x:color rgb="FFD9E2EC"/>
      </x:left>
      <x:right style="thin">
        <x:color rgb="FFD9E2EC"/>
      </x:right>
      <x:top style="thin">
        <x:color rgb="FFA6A6A6"/>
      </x:top>
      <x:bottom style="thin">
        <x:color rgb="FF12355B"/>
      </x:bottom>
    </x:border>
    <x:border>
      <x:left style="thin">
        <x:color rgb="FFD9E2EC"/>
      </x:left>
      <x:right style="thin">
        <x:color rgb="FFA6A6A6"/>
      </x:right>
      <x:top style="thin">
        <x:color rgb="FFA6A6A6"/>
      </x:top>
      <x:bottom style="thin">
        <x:color rgb="FF12355B"/>
      </x:bottom>
    </x:border>
    <x:border>
      <x:left style="thin">
        <x:color rgb="FFA6A6A6"/>
      </x:left>
      <x:right style="thin">
        <x:color rgb="FFD9E2EC"/>
      </x:right>
      <x:bottom style="thin">
        <x:color rgb="FFA6A6A6"/>
      </x:bottom>
    </x:border>
    <x:border>
      <x:left style="thin">
        <x:color rgb="FFD9E2EC"/>
      </x:left>
      <x:right style="thin">
        <x:color rgb="FFD9E2EC"/>
      </x:right>
      <x:bottom style="thin">
        <x:color rgb="FFA6A6A6"/>
      </x:bottom>
    </x:border>
    <x:border>
      <x:left style="thin">
        <x:color rgb="FFD9E2EC"/>
      </x:left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4" fillId="0" borderId="7" xfId="0" applyNumberFormat="1" applyFont="1" applyFill="1" applyBorder="1"/>
    <x:xf numFmtId="0" fontId="4" fillId="0" borderId="10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5" fillId="5" borderId="8" xfId="0" applyNumberFormat="1" applyFont="1" applyFill="1" applyBorder="1"/>
    <x:xf numFmtId="0" fontId="5" fillId="5" borderId="11" xfId="0" applyNumberFormat="1" applyFont="1" applyFill="1" applyBorder="1"/>
    <x:xf numFmtId="0" fontId="5" fillId="5" borderId="8" xfId="0" applyNumberFormat="1" applyFont="1" applyFill="1" applyBorder="1" applyAlignment="1">
      <x:alignment horizontal="right"/>
    </x:xf>
    <x:xf numFmtId="0" fontId="5" fillId="5" borderId="11" xfId="0" applyNumberFormat="1" applyFont="1" applyFill="1" applyBorder="1" applyAlignment="1">
      <x:alignment horizontal="right"/>
    </x:xf>
    <x:xf numFmtId="0" fontId="6" fillId="0" borderId="9" xfId="0" applyNumberFormat="1" applyFont="1" applyFill="1" applyBorder="1"/>
    <x:xf numFmtId="0" fontId="6" fillId="0" borderId="12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200" fontId="5" fillId="5" borderId="8" xfId="0" applyNumberFormat="1" applyFont="1" applyFill="1" applyBorder="1" applyAlignment="1">
      <x:alignment horizontal="right"/>
    </x:xf>
    <x:xf numFmtId="201" fontId="5" fillId="5" borderId="8" xfId="0" applyNumberFormat="1" applyFont="1" applyFill="1" applyBorder="1" applyAlignment="1">
      <x:alignment horizontal="right"/>
    </x:xf>
    <x:xf numFmtId="202" fontId="5" fillId="5" borderId="8" xfId="0" applyNumberFormat="1" applyFont="1" applyFill="1" applyBorder="1" applyAlignment="1">
      <x:alignment horizontal="right"/>
    </x:xf>
    <x:xf numFmtId="203" fontId="5" fillId="5" borderId="8" xfId="0" applyNumberFormat="1" applyFont="1" applyFill="1" applyBorder="1" applyAlignment="1">
      <x:alignment horizontal="right"/>
    </x:xf>
    <x:xf numFmtId="201" fontId="5" fillId="5" borderId="1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5" borderId="7" xfId="0" applyNumberFormat="1" applyFont="1" applyFill="1" applyBorder="1"/>
    <x:xf numFmtId="0" fontId="7" fillId="6" borderId="7" xfId="0" applyNumberFormat="1" applyFont="1" applyFill="1" applyBorder="1"/>
    <x:xf numFmtId="0" fontId="0" fillId="7" borderId="1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3" xfId="0" applyNumberFormat="1" applyFont="1" applyFill="1" applyBorder="1" applyAlignment="1">
      <x:alignment vertical="center" wrapText="1"/>
    </x:xf>
    <x:xf numFmtId="0" fontId="6" fillId="3" borderId="14" xfId="0" applyNumberFormat="1" applyFont="1" applyFill="1" applyBorder="1" applyAlignment="1">
      <x:alignment vertical="center" wrapText="1"/>
    </x:xf>
    <x:xf numFmtId="0" fontId="6" fillId="3" borderId="15" xfId="0" applyNumberFormat="1" applyFont="1" applyFill="1" applyBorder="1" applyAlignment="1">
      <x:alignment vertical="center" wrapText="1"/>
    </x:xf>
    <x:xf numFmtId="0" fontId="6" fillId="3" borderId="16" xfId="0" applyNumberFormat="1" applyFont="1" applyFill="1" applyBorder="1" applyAlignment="1">
      <x:alignment vertical="center" wrapText="1"/>
    </x:xf>
    <x:xf numFmtId="0" fontId="6" fillId="3" borderId="17" xfId="0" applyNumberFormat="1" applyFont="1" applyFill="1" applyBorder="1" applyAlignment="1">
      <x:alignment vertical="center" wrapText="1"/>
    </x:xf>
    <x:xf numFmtId="0" fontId="6" fillId="3" borderId="18" xfId="0" applyNumberFormat="1" applyFont="1" applyFill="1" applyBorder="1" applyAlignment="1">
      <x:alignment vertical="center" wrapText="1"/>
    </x:xf>
    <x:xf numFmtId="0" fontId="6" fillId="3" borderId="19" xfId="0" applyNumberFormat="1" applyFont="1" applyFill="1" applyBorder="1" applyAlignment="1">
      <x:alignment vertical="center" wrapText="1"/>
    </x:xf>
    <x:xf numFmtId="0" fontId="6" fillId="3" borderId="2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3" fontId="0" fillId="0" borderId="11" xfId="0" applyNumberFormat="1" applyFont="1" applyFill="1" applyBorder="1"/>
    <x:xf numFmtId="204" fontId="0" fillId="0" borderId="5" xfId="0" applyNumberFormat="1" applyFont="1" applyFill="1" applyBorder="1"/>
    <x:xf numFmtId="204" fontId="0" fillId="0" borderId="8" xfId="0" applyNumberFormat="1" applyFont="1" applyFill="1" applyBorder="1"/>
    <x:xf numFmtId="204" fontId="0" fillId="0" borderId="11" xfId="0" applyNumberFormat="1" applyFont="1" applyFill="1" applyBorder="1"/>
    <x:xf numFmtId="205" fontId="0" fillId="0" borderId="5" xfId="0" applyNumberFormat="1" applyFont="1" applyFill="1" applyBorder="1"/>
    <x:xf numFmtId="205" fontId="0" fillId="0" borderId="8" xfId="0" applyNumberFormat="1" applyFont="1" applyFill="1" applyBorder="1"/>
    <x:xf numFmtId="205" fontId="0" fillId="0" borderId="11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6" fontId="0" fillId="0" borderId="5" xfId="0" applyNumberFormat="1" applyFont="1" applyFill="1" applyBorder="1"/>
    <x:xf numFmtId="206" fontId="0" fillId="0" borderId="8" xfId="0" applyNumberFormat="1" applyFont="1" applyFill="1" applyBorder="1"/>
    <x:xf numFmtId="206" fontId="0" fillId="0" borderId="11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207" fontId="0" fillId="0" borderId="5" xfId="0" applyNumberFormat="1" applyFont="1" applyFill="1" applyBorder="1"/>
    <x:xf numFmtId="207" fontId="0" fillId="0" borderId="8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4" fillId="0" borderId="5" xfId="0" applyNumberFormat="1" applyFont="1" applyFill="1" applyBorder="1"/>
    <x:xf numFmtId="0" fontId="4" fillId="0" borderId="8" xfId="0" applyNumberFormat="1" applyFont="1" applyFill="1" applyBorder="1"/>
    <x:xf numFmtId="0" fontId="4" fillId="0" borderId="11" xfId="0" applyNumberFormat="1" applyFont="1" applyFill="1" applyBorder="1"/>
    <x:xf numFmtId="0" fontId="4" fillId="0" borderId="5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 applyAlignment="1">
      <x:alignment horizontal="center"/>
    </x:xf>
    <x:xf numFmtId="0" fontId="4" fillId="0" borderId="11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200" fontId="8" fillId="6" borderId="0" xfId="0" applyNumberFormat="1" applyFont="1" applyFill="1" applyBorder="1" applyAlignment="1">
      <x:alignment horizontal="center"/>
    </x:xf>
    <x:xf numFmtId="206" fontId="8" fillId="6" borderId="0" xfId="0" applyNumberFormat="1" applyFont="1" applyFill="1" applyBorder="1" applyAlignment="1">
      <x:alignment horizontal="center"/>
    </x:xf>
    <x:xf numFmtId="205" fontId="8" fillId="6" borderId="0" xfId="0" applyNumberFormat="1" applyFont="1" applyFill="1" applyBorder="1" applyAlignment="1">
      <x:alignment horizontal="center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200" fontId="8" fillId="6" borderId="24" xfId="0" applyNumberFormat="1" applyFont="1" applyFill="1" applyBorder="1" applyAlignment="1">
      <x:alignment horizontal="center"/>
    </x:xf>
    <x:xf numFmtId="200" fontId="8" fillId="6" borderId="25" xfId="0" applyNumberFormat="1" applyFont="1" applyFill="1" applyBorder="1" applyAlignment="1">
      <x:alignment horizontal="center"/>
    </x:xf>
    <x:xf numFmtId="206" fontId="8" fillId="6" borderId="25" xfId="0" applyNumberFormat="1" applyFont="1" applyFill="1" applyBorder="1" applyAlignment="1">
      <x:alignment horizontal="center"/>
    </x:xf>
    <x:xf numFmtId="205" fontId="8" fillId="6" borderId="25" xfId="0" applyNumberFormat="1" applyFont="1" applyFill="1" applyBorder="1" applyAlignment="1">
      <x:alignment horizontal="center"/>
    </x:xf>
    <x:xf numFmtId="0" fontId="8" fillId="6" borderId="26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24" xfId="0" applyNumberFormat="1" applyFont="1" applyFill="1" applyBorder="1"/>
    <x:xf numFmtId="200" fontId="0" fillId="0" borderId="25" xfId="0" applyNumberFormat="1" applyFont="1" applyFill="1" applyBorder="1"/>
    <x:xf numFmtId="201" fontId="0" fillId="0" borderId="25" xfId="0" applyNumberFormat="1" applyFont="1" applyFill="1" applyBorder="1"/>
    <x:xf numFmtId="202" fontId="0" fillId="0" borderId="25" xfId="0" applyNumberFormat="1" applyFont="1" applyFill="1" applyBorder="1"/>
    <x:xf numFmtId="0" fontId="0" fillId="0" borderId="25" xfId="0" applyNumberFormat="1" applyFont="1" applyFill="1" applyBorder="1"/>
    <x:xf numFmtId="201" fontId="0" fillId="0" borderId="26" xfId="0" applyNumberFormat="1" applyFont="1" applyFill="1" applyBorder="1"/>
  </x:cellXfs>
  <x:cellStyles count="1">
    <x:cellStyle name="Normal" xfId="0"/>
  </x:cellStyles>
  <x:dxfs count="8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A6A6A6"/>
      </x:font>
      <x:fill>
        <x:patternFill patternType="solid">
          <x:bgColor rgb="FFF2F2F2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2e6583f834dbe" /><Relationship Type="http://schemas.openxmlformats.org/officeDocument/2006/relationships/theme" Target="/xl/theme/theme1.xml" Id="Rd5e518f69a634bdc" /><Relationship Type="http://schemas.openxmlformats.org/officeDocument/2006/relationships/sharedStrings" Target="/xl/sharedStrings.xml" Id="R7fd1bbbc200f4223" /><Relationship Type="http://schemas.openxmlformats.org/officeDocument/2006/relationships/worksheet" Target="/xl/worksheets/sheet1.xml" Id="R94c1307e47e941c1" /><Relationship Type="http://schemas.openxmlformats.org/officeDocument/2006/relationships/worksheet" Target="/xl/worksheets/sheet2.xml" Id="R76bc9bff7e7e4911" /><Relationship Type="http://schemas.openxmlformats.org/officeDocument/2006/relationships/worksheet" Target="/xl/worksheets/sheet3.xml" Id="R0cd7df9f9f0b4210" /><Relationship Type="http://schemas.openxmlformats.org/officeDocument/2006/relationships/worksheet" Target="/xl/worksheets/sheet4.xml" Id="Rb7f01ad81d0b449b" /><Relationship Type="http://schemas.openxmlformats.org/officeDocument/2006/relationships/worksheet" Target="/xl/worksheets/sheet5.xml" Id="R515dd6283bf04fa5" /><Relationship Type="http://schemas.microsoft.com/office/2017/10/relationships/person" Target="/xl/persons/person.xml" Id="R04b324a4cb6940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8e049f8ac34eb8" /><Relationship Type="http://schemas.openxmlformats.org/officeDocument/2006/relationships/chart" Target="/xl/drawings/charts/chart2.xml" Id="R675d82d5b7174d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Patrimonio acumulado (R$)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Patrimonio</c:v>
          </c:tx>
          <c:marker>
            <c:symbol val="none"/>
          </c:marker>
          <c:dLbls/>
          <c:cat>
            <c:strRef>
              <c:f>'Dashboard'!$J$5:$J$124</c:f>
              <c:strCache>
                <c:ptCount val="0"/>
              </c:strCache>
            </c:strRef>
          </c:cat>
          <c:val>
            <c:numRef>
              <c:f>'Dashboard'!$K$5:$K$124</c:f>
              <c:numCache>
                <c:formatCode>$#,##0;[Red]($#,##0);-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Dividendos mensais estimados (R$)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Dividendos</c:v>
          </c:tx>
          <c:marker>
            <c:symbol val="none"/>
          </c:marker>
          <c:dLbls/>
          <c:cat>
            <c:strRef>
              <c:f>'Dashboard'!$N$5:$N$124</c:f>
              <c:strCache>
                <c:ptCount val="0"/>
              </c:strCache>
            </c:strRef>
          </c:cat>
          <c:val>
            <c:numRef>
              <c:f>'Dashboard'!$O$5:$O$124</c:f>
              <c:numCache>
                <c:formatCode>$#,##0;[Red]($#,##0);-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8e049f8ac34eb8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5d82d5b7174d1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A9B7119B-F633-41E1-8A92-3467A2E36682}"/>
</xltc:personList>
</file>

<file path=xl/tables/table1.xml><?xml version="1.0" encoding="utf-8"?>
<x:table xmlns:x="http://schemas.openxmlformats.org/spreadsheetml/2006/main" id="1" name="TabelaSimulacao" displayName="TabelaSimulacao" ref="A3:Q123" headerRowCount="1" totalsRowCount="0" totalsRowShown="0">
  <x:tableColumns count="17">
    <x:tableColumn id="1" name="Mes"/>
    <x:tableColumn id="2" name="Data"/>
    <x:tableColumn id="3" name="Cotacao estimada"/>
    <x:tableColumn id="4" name="Cotas iniciais"/>
    <x:tableColumn id="5" name="Aporte do mes"/>
    <x:tableColumn id="6" name="Dividendos brutos"/>
    <x:tableColumn id="7" name="Custos/taxas"/>
    <x:tableColumn id="8" name="Dividendos liquidos"/>
    <x:tableColumn id="9" name="Reinvestimento"/>
    <x:tableColumn id="10" name="Cotas compradas"/>
    <x:tableColumn id="11" name="Cotas finais"/>
    <x:tableColumn id="12" name="Patrimonio final"/>
    <x:tableColumn id="13" name="Total aportado"/>
    <x:tableColumn id="14" name="Dividendos gerados acum."/>
    <x:tableColumn id="15" name="Dividendos em caixa acum."/>
    <x:tableColumn id="16" name="Retorno total"/>
    <x:tableColumn id="1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9-16T14:46:23.961" personId="{A9B7119B-F633-41E1-8A92-3467A2E36682}" id="{69A7C512-2CBB-1FAF-E48E-6FB559370FC0}">
    <xltc:text>Assumption: valor informado pelo usuario | Date: 2026-09-16 | Notes: capital inicial editavel.</xltc:text>
  </xltc:threadedComment>
  <xltc:threadedComment ref="B7" dT="2026-09-16T14:46:23.964" personId="{A9B7119B-F633-41E1-8A92-3467A2E36682}" id="{2A859974-AD66-FCB1-E04A-E075DAB62188}">
    <xltc:text>Assumption: valor informado pelo usuario | Date: 2026-09-16 | Notes: aporte mensal editavel.</xltc:text>
  </xltc:threadedComment>
  <xltc:threadedComment ref="B8" dT="2026-09-16T14:46:23.964" personId="{A9B7119B-F633-41E1-8A92-3467A2E36682}" id="{88ADCC37-FFCD-905B-EA69-F63E9DFCBB0D}">
    <xltc:text>Assumption: valor informado pelo usuario | Date: 2026-09-16 | Notes: preco medio estimado por cota.</xltc:text>
  </xltc:threadedComment>
  <xltc:threadedComment ref="B9" dT="2026-09-16T14:46:23.964" personId="{A9B7119B-F633-41E1-8A92-3467A2E36682}" id="{EC63BB72-68D0-FCBF-3778-6B11C73EC660}">
    <xltc:text>Assumption: valor informado pelo usuario | Date: 2026-09-16 | Notes: dividend yield mensal estimado.</xltc:text>
  </xltc:threadedComment>
  <xltc:threadedComment ref="B10" dT="2026-09-16T14:46:23.964" personId="{A9B7119B-F633-41E1-8A92-3467A2E36682}" id="{77BD5781-B539-1749-54BD-4981DE2AE7A6}">
    <xltc:text>Assumption: valor informado pelo usuario | Date: 2026-09-16 | Notes: valorizacao mensal estimada da cota.</xltc:text>
  </xltc:threadedComment>
  <xltc:threadedComment ref="B11" dT="2026-09-16T14:46:23.964" personId="{A9B7119B-F633-41E1-8A92-3467A2E36682}" id="{D7E62122-6ED5-6DE9-501B-3C47BED9856E}">
    <xltc:text>Assumption: valor informado pelo usuario | Date: 2026-09-16 | Notes: horizonte limitado a 120 meses.</xltc:text>
  </xltc:threadedComment>
  <xltc:threadedComment ref="B12" dT="2026-09-16T14:46:23.964" personId="{A9B7119B-F633-41E1-8A92-3467A2E36682}" id="{B73B6469-3B52-41C6-9058-067BB67D95E1}">
    <xltc:text>Assumption: valor informado pelo usuario | Date: 2026-09-16 | Notes: opcao de reinvestimento dos dividendos.</xltc:text>
  </xltc:threadedComment>
  <xltc:threadedComment ref="B13" dT="2026-09-16T14:46:23.964" personId="{A9B7119B-F633-41E1-8A92-3467A2E36682}" id="{793A39B5-56AA-2290-5B2C-3F0A23CE0C87}">
    <xltc:text>Assumption: valor informado pelo usuario | Date: 2026-09-16 | Notes: mes inicial da simulacao.</xltc:text>
  </xltc:threadedComment>
  <xltc:threadedComment ref="B14" dT="2026-09-16T14:46:23.964" personId="{A9B7119B-F633-41E1-8A92-3467A2E36682}" id="{749C57C7-96CA-36AB-E715-AB3C5F0E96C0}">
    <xltc:text>Assumption: valor informado pelo usuario | Date: 2026-09-16 | Notes: custos ou taxas mensais estimadas.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416e5cf8174b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2993c135daa4120" /><Relationship Type="http://schemas.openxmlformats.org/officeDocument/2006/relationships/vmlDrawing" Target="/xl/drawings/vmldrawing.vml" Id="R4a4d30f892ca458a" /><Relationship Type="http://schemas.microsoft.com/office/2017/10/relationships/threadedComment" Target="/xl/threadedcomments/threadedcomment.xml" Id="R672059f2105449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80da31640c847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0" max="10" width="0" hidden="0" customWidth="1"/>
    <x:col min="11" max="11" width="0" hidden="0" customWidth="1"/>
    <x:col min="12" max="12" width="0" hidden="0" customWidth="1"/>
    <x:col min="13" max="13" width="0" hidden="0" customWidth="1"/>
    <x:col min="14" max="14" width="0" hidden="0" customWidth="1"/>
    <x:col min="15" max="15" width="0" hidden="0" customWidth="1"/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Painel do simulador de FIIs</x:v>
      </x:c>
      <x:c r="B1" s="4" t="str">
        <x:v>Painel do simulador de FIIs</x:v>
      </x:c>
      <x:c r="C1" s="4" t="str">
        <x:v>Painel do simulador de FIIs</x:v>
      </x:c>
      <x:c r="D1" s="4" t="str">
        <x:v>Painel do simulador de FIIs</x:v>
      </x:c>
      <x:c r="E1" s="4" t="str">
        <x:v>Painel do simulador de FIIs</x:v>
      </x:c>
      <x:c r="F1" s="4" t="str">
        <x:v>Painel do simulador de FIIs</x:v>
      </x:c>
      <x:c r="G1" s="4" t="str">
        <x:v>Painel do simulador de FIIs</x:v>
      </x:c>
      <x:c r="H1" s="4" t="str">
        <x:v>Painel do simulador de FIIs</x:v>
      </x:c>
    </x:row>
    <x:row r="2" ht="28" customHeight="1">
      <x:c r="A2" s="7" t="str">
        <x:v>Resumo calculado com base nas premissas e na simulacao mensal.</x:v>
      </x:c>
      <x:c r="B2" s="7" t="str">
        <x:v>Resumo calculado com base nas premissas e na simulacao mensal.</x:v>
      </x:c>
      <x:c r="C2" s="7" t="str">
        <x:v>Resumo calculado com base nas premissas e na simulacao mensal.</x:v>
      </x:c>
      <x:c r="D2" s="7" t="str">
        <x:v>Resumo calculado com base nas premissas e na simulacao mensal.</x:v>
      </x:c>
      <x:c r="E2" s="7" t="str">
        <x:v>Resumo calculado com base nas premissas e na simulacao mensal.</x:v>
      </x:c>
      <x:c r="F2" s="7" t="str">
        <x:v>Resumo calculado com base nas premissas e na simulacao mensal.</x:v>
      </x:c>
      <x:c r="G2" s="7" t="str">
        <x:v>Resumo calculado com base nas premissas e na simulacao mensal.</x:v>
      </x:c>
      <x:c r="H2" s="7" t="str">
        <x:v>Resumo calculado com base nas premissas e na simulacao mensal.</x:v>
      </x:c>
    </x:row>
    <x:row r="4">
      <x:c r="A4" s="108" t="str">
        <x:v>Total investido</x:v>
      </x:c>
      <x:c r="B4" s="109" t="str">
        <x:v>Patrimonio final</x:v>
      </x:c>
      <x:c r="C4" s="109" t="str">
        <x:v>Dividendos no ultimo mes</x:v>
      </x:c>
      <x:c r="D4" s="109" t="str">
        <x:v>Dividendos gerados</x:v>
      </x:c>
      <x:c r="E4" s="109" t="str">
        <x:v>Dividendos em caixa</x:v>
      </x:c>
      <x:c r="F4" s="109" t="str">
        <x:v>Retorno total</x:v>
      </x:c>
      <x:c r="G4" s="109" t="str">
        <x:v>Cotas finais</x:v>
      </x:c>
      <x:c r="H4" s="110" t="str">
        <x:v>Status</x:v>
      </x:c>
      <x:c r="J4" t="str">
        <x:v>Mes</x:v>
      </x:c>
      <x:c r="K4" t="str">
        <x:v>Patrimonio</x:v>
      </x:c>
      <x:c r="L4" t="str">
        <x:v>Dividendos</x:v>
      </x:c>
      <x:c r="N4" t="str">
        <x:v>Mes</x:v>
      </x:c>
      <x:c r="O4" t="str">
        <x:v>Dividendos</x:v>
      </x:c>
    </x:row>
    <x:row r="5">
      <x:c r="A5" s="111" t="n">
        <x:f>INDEX('Simulacao'!$M$4:$M$123,'Premissas'!$B$11)</x:f>
        <x:v>130000</x:v>
      </x:c>
      <x:c r="B5" s="112" t="n">
        <x:f>INDEX('Simulacao'!$L$4:$L$123,'Premissas'!$B$11)</x:f>
        <x:v>263298.8711655667</x:v>
      </x:c>
      <x:c r="C5" s="112" t="n">
        <x:f>INDEX('Simulacao'!$H$4:$H$123,'Premissas'!$B$11)</x:f>
        <x:v>2081.737072742593</x:v>
      </x:c>
      <x:c r="D5" s="112" t="n">
        <x:f>INDEX('Simulacao'!$N$4:$N$123,'Premissas'!$B$11)</x:f>
        <x:v>106697.65887212286</x:v>
      </x:c>
      <x:c r="E5" s="112" t="n">
        <x:f>INDEX('Simulacao'!$O$4:$O$123,'Premissas'!$B$11)</x:f>
        <x:v>0</x:v>
      </x:c>
      <x:c r="F5" s="113" t="n">
        <x:f>INDEX('Simulacao'!$P$4:$P$123,'Premissas'!$B$11)</x:f>
        <x:v>1.025375932042821</x:v>
      </x:c>
      <x:c r="G5" s="114" t="n">
        <x:f>INDEX('Simulacao'!$K$4:$K$123,'Premissas'!$B$11)</x:f>
        <x:v>2075.822117439077</x:v>
      </x:c>
      <x:c r="H5" s="115" t="str">
        <x:f>'Checks'!$B$2</x:f>
        <x:v>OK</x:v>
      </x:c>
      <x:c r="J5" t="str">
        <x:f>IF('Simulacao'!$A4&lt;='Premissas'!$B$11,TEXT('Simulacao'!$B4,"mmm yyyy"),"")</x:f>
        <x:v>Sep 2026</x:v>
      </x:c>
      <x:c r="K5" s="116" t="n">
        <x:f>IF('Simulacao'!$A4&lt;='Premissas'!$B$11,'Simulacao'!$L4,NA())</x:f>
        <x:v>11080</x:v>
      </x:c>
      <x:c r="L5" s="116" t="n">
        <x:f>IF('Simulacao'!$A4&lt;='Premissas'!$B$11,'Simulacao'!$H4,NA())</x:f>
        <x:v>80</x:v>
      </x:c>
      <x:c r="N5" t="str">
        <x:f>J5</x:f>
        <x:v>Sep 2026</x:v>
      </x:c>
      <x:c r="O5" s="116" t="n">
        <x:f>L5</x:f>
        <x:v>80</x:v>
      </x:c>
    </x:row>
    <x:row r="6">
      <x:c r="J6" t="str">
        <x:f>IF('Simulacao'!$A5&lt;='Premissas'!$B$11,TEXT('Simulacao'!$B5,"mmm yyyy"),"")</x:f>
        <x:v>Oct 2026</x:v>
      </x:c>
      <x:c r="K6" s="116" t="n">
        <x:f>IF('Simulacao'!$A5&lt;='Premissas'!$B$11,'Simulacao'!$L5,NA())</x:f>
        <x:v>12190.97728</x:v>
      </x:c>
      <x:c r="L6" s="116" t="n">
        <x:f>IF('Simulacao'!$A5&lt;='Premissas'!$B$11,'Simulacao'!$H5,NA())</x:f>
        <x:v>88.81728</x:v>
      </x:c>
      <x:c r="N6" t="str">
        <x:f>J6</x:f>
        <x:v>Oct 2026</x:v>
      </x:c>
      <x:c r="O6" s="116" t="n">
        <x:f>L6</x:f>
        <x:v>88.81728</x:v>
      </x:c>
    </x:row>
    <x:row r="7">
      <x:c r="J7" t="str">
        <x:f>IF('Simulacao'!$A6&lt;='Premissas'!$B$11,TEXT('Simulacao'!$B6,"mmm yyyy"),"")</x:f>
        <x:v>Nov 2026</x:v>
      </x:c>
      <x:c r="K7" s="116" t="n">
        <x:f>IF('Simulacao'!$A6&lt;='Premissas'!$B$11,'Simulacao'!$L6,NA())</x:f>
        <x:v>13313.082108436478</x:v>
      </x:c>
      <x:c r="L7" s="116" t="n">
        <x:f>IF('Simulacao'!$A6&lt;='Premissas'!$B$11,'Simulacao'!$H6,NA())</x:f>
        <x:v>97.72287387648</x:v>
      </x:c>
      <x:c r="N7" t="str">
        <x:f>J7</x:f>
        <x:v>Nov 2026</x:v>
      </x:c>
      <x:c r="O7" s="116" t="n">
        <x:f>L7</x:f>
        <x:v>97.72287387648</x:v>
      </x:c>
    </x:row>
    <x:row r="8">
      <x:c r="A8" s="11" t="str">
        <x:v>Premissas usadas no cenario</x:v>
      </x:c>
      <x:c r="B8" s="11" t="str">
        <x:v>Premissas usadas no cenario</x:v>
      </x:c>
      <x:c r="C8" s="11" t="str">
        <x:v>Premissas usadas no cenario</x:v>
      </x:c>
      <x:c r="D8" s="11" t="str">
        <x:v>Premissas usadas no cenario</x:v>
      </x:c>
      <x:c r="E8" s="11" t="str">
        <x:v>Premissas usadas no cenario</x:v>
      </x:c>
      <x:c r="F8" s="11" t="str">
        <x:v>Premissas usadas no cenario</x:v>
      </x:c>
      <x:c r="G8" s="11" t="str">
        <x:v>Premissas usadas no cenario</x:v>
      </x:c>
      <x:c r="H8" s="11" t="str">
        <x:v>Premissas usadas no cenario</x:v>
      </x:c>
      <x:c r="J8" t="str">
        <x:f>IF('Simulacao'!$A7&lt;='Premissas'!$B$11,TEXT('Simulacao'!$B7,"mmm yyyy"),"")</x:f>
        <x:v>Dec 2026</x:v>
      </x:c>
      <x:c r="K8" s="116" t="n">
        <x:f>IF('Simulacao'!$A7&lt;='Premissas'!$B$11,'Simulacao'!$L7,NA())</x:f>
        <x:v>14446.425938834578</x:v>
      </x:c>
      <x:c r="L8" s="116" t="n">
        <x:f>IF('Simulacao'!$A7&lt;='Premissas'!$B$11,'Simulacao'!$H7,NA())</x:f>
        <x:v>106.7176661812268</x:v>
      </x:c>
      <x:c r="N8" t="str">
        <x:f>J8</x:f>
        <x:v>Dec 2026</x:v>
      </x:c>
      <x:c r="O8" s="116" t="n">
        <x:f>L8</x:f>
        <x:v>106.7176661812268</x:v>
      </x:c>
    </x:row>
    <x:row r="9">
      <x:c r="A9" s="108" t="str">
        <x:v>Valor inicial</x:v>
      </x:c>
      <x:c r="B9" s="109" t="str">
        <x:v>Aporte mensal</x:v>
      </x:c>
      <x:c r="C9" s="109" t="str">
        <x:v>Preco/cota</x:v>
      </x:c>
      <x:c r="D9" s="109" t="str">
        <x:v>DY mensal</x:v>
      </x:c>
      <x:c r="E9" s="109" t="str">
        <x:v>Valorizacao mensal</x:v>
      </x:c>
      <x:c r="F9" s="109" t="str">
        <x:v>Horizonte</x:v>
      </x:c>
      <x:c r="G9" s="109" t="str">
        <x:v>Reinvestir</x:v>
      </x:c>
      <x:c r="H9" s="110" t="str">
        <x:v>Custos/taxas</x:v>
      </x:c>
      <x:c r="J9" t="str">
        <x:f>IF('Simulacao'!$A8&lt;='Premissas'!$B$11,TEXT('Simulacao'!$B8,"mmm yyyy"),"")</x:f>
        <x:v>Jan 2027</x:v>
      </x:c>
      <x:c r="K9" s="116" t="n">
        <x:f>IF('Simulacao'!$A8&lt;='Premissas'!$B$11,'Simulacao'!$L8,NA())</x:f>
        <x:v>15591.121341037948</x:v>
      </x:c>
      <x:c r="L9" s="116" t="n">
        <x:f>IF('Simulacao'!$A8&lt;='Premissas'!$B$11,'Simulacao'!$H8,NA())</x:f>
        <x:v>115.80255032569801</x:v>
      </x:c>
      <x:c r="N9" t="str">
        <x:f>J9</x:f>
        <x:v>Jan 2027</x:v>
      </x:c>
      <x:c r="O9" s="116" t="n">
        <x:f>L9</x:f>
        <x:v>115.80255032569801</x:v>
      </x:c>
    </x:row>
    <x:row r="10">
      <x:c r="A10" s="119" t="n">
        <x:f>'Premissas'!$B$6</x:f>
        <x:v>10000</x:v>
      </x:c>
      <x:c r="B10" s="120" t="n">
        <x:f>'Premissas'!$B$7</x:f>
        <x:v>1000</x:v>
      </x:c>
      <x:c r="C10" s="120" t="n">
        <x:f>'Premissas'!$B$8</x:f>
        <x:v>100</x:v>
      </x:c>
      <x:c r="D10" s="121" t="n">
        <x:f>'Premissas'!$B$9</x:f>
        <x:v>0.008</x:v>
      </x:c>
      <x:c r="E10" s="121" t="n">
        <x:f>'Premissas'!$B$10</x:f>
        <x:v>0.002</x:v>
      </x:c>
      <x:c r="F10" s="122" t="n">
        <x:f>'Premissas'!$B$11</x:f>
        <x:v>120</x:v>
      </x:c>
      <x:c r="G10" s="123" t="str">
        <x:f>'Premissas'!$B$12</x:f>
        <x:v>Sim</x:v>
      </x:c>
      <x:c r="H10" s="124" t="n">
        <x:f>'Premissas'!$B$14</x:f>
        <x:v>0</x:v>
      </x:c>
      <x:c r="J10" t="str">
        <x:f>IF('Simulacao'!$A9&lt;='Premissas'!$B$11,TEXT('Simulacao'!$B9,"mmm yyyy"),"")</x:f>
        <x:v>Feb 2027</x:v>
      </x:c>
      <x:c r="K10" s="116" t="n">
        <x:f>IF('Simulacao'!$A9&lt;='Premissas'!$B$11,'Simulacao'!$L9,NA())</x:f>
        <x:v>16747.28201238978</x:v>
      </x:c>
      <x:c r="L10" s="116" t="n">
        <x:f>IF('Simulacao'!$A9&lt;='Premissas'!$B$11,'Simulacao'!$H9,NA())</x:f>
        <x:v>124.97842866976016</x:v>
      </x:c>
      <x:c r="N10" t="str">
        <x:f>J10</x:f>
        <x:v>Feb 2027</x:v>
      </x:c>
      <x:c r="O10" s="116" t="n">
        <x:f>L10</x:f>
        <x:v>124.97842866976016</x:v>
      </x:c>
    </x:row>
    <x:row r="11">
      <x:c r="J11" t="str">
        <x:f>IF('Simulacao'!$A10&lt;='Premissas'!$B$11,TEXT('Simulacao'!$B10,"mmm yyyy"),"")</x:f>
        <x:v>Mar 2027</x:v>
      </x:c>
      <x:c r="K11" s="116" t="n">
        <x:f>IF('Simulacao'!$A10&lt;='Premissas'!$B$11,'Simulacao'!$L10,NA())</x:f>
        <x:v>17915.022789025876</x:v>
      </x:c>
      <x:c r="L11" s="116" t="n">
        <x:f>IF('Simulacao'!$A10&lt;='Premissas'!$B$11,'Simulacao'!$H10,NA())</x:f>
        <x:v>134.24621261131648</x:v>
      </x:c>
      <x:c r="N11" t="str">
        <x:f>J11</x:f>
        <x:v>Mar 2027</x:v>
      </x:c>
      <x:c r="O11" s="116" t="n">
        <x:f>L11</x:f>
        <x:v>134.24621261131648</x:v>
      </x:c>
    </x:row>
    <x:row r="12">
      <x:c r="J12" t="str">
        <x:f>IF('Simulacao'!$A11&lt;='Premissas'!$B$11,TEXT('Simulacao'!$B11,"mmm yyyy"),"")</x:f>
        <x:v>Apr 2027</x:v>
      </x:c>
      <x:c r="K12" s="116" t="n">
        <x:f>IF('Simulacao'!$A11&lt;='Premissas'!$B$11,'Simulacao'!$L11,NA())</x:f>
        <x:v>19094.459657280764</x:v>
      </x:c>
      <x:c r="L12" s="116" t="n">
        <x:f>IF('Simulacao'!$A11&lt;='Premissas'!$B$11,'Simulacao'!$H11,NA())</x:f>
        <x:v>143.60682267683146</x:v>
      </x:c>
      <x:c r="N12" t="str">
        <x:f>J12</x:f>
        <x:v>Apr 2027</x:v>
      </x:c>
      <x:c r="O12" s="116" t="n">
        <x:f>L12</x:f>
        <x:v>143.60682267683146</x:v>
      </x:c>
    </x:row>
    <x:row r="13">
      <x:c r="J13" t="str">
        <x:f>IF('Simulacao'!$A12&lt;='Premissas'!$B$11,TEXT('Simulacao'!$B12,"mmm yyyy"),"")</x:f>
        <x:v>May 2027</x:v>
      </x:c>
      <x:c r="K13" s="116" t="n">
        <x:f>IF('Simulacao'!$A12&lt;='Premissas'!$B$11,'Simulacao'!$L12,NA())</x:f>
        <x:v>20285.709765208085</x:v>
      </x:c>
      <x:c r="L13" s="116" t="n">
        <x:f>IF('Simulacao'!$A12&lt;='Premissas'!$B$11,'Simulacao'!$H12,NA())</x:f>
        <x:v>153.0611886127626</x:v>
      </x:c>
      <x:c r="N13" t="str">
        <x:f>J13</x:f>
        <x:v>May 2027</x:v>
      </x:c>
      <x:c r="O13" s="116" t="n">
        <x:f>L13</x:f>
        <x:v>153.0611886127626</x:v>
      </x:c>
    </x:row>
    <x:row r="14">
      <x:c r="J14" t="str">
        <x:f>IF('Simulacao'!$A13&lt;='Premissas'!$B$11,TEXT('Simulacao'!$B13,"mmm yyyy"),"")</x:f>
        <x:v>Jun 2027</x:v>
      </x:c>
      <x:c r="K14" s="116" t="n">
        <x:f>IF('Simulacao'!$A13&lt;='Premissas'!$B$11,'Simulacao'!$L13,NA())</x:f>
        <x:v>21488.89143421641</x:v>
      </x:c>
      <x:c r="L14" s="116" t="n">
        <x:f>IF('Simulacao'!$A13&lt;='Premissas'!$B$11,'Simulacao'!$H13,NA())</x:f>
        <x:v>162.610249477908</x:v>
      </x:c>
      <x:c r="N14" t="str">
        <x:f>J14</x:f>
        <x:v>Jun 2027</x:v>
      </x:c>
      <x:c r="O14" s="116" t="n">
        <x:f>L14</x:f>
        <x:v>162.610249477908</x:v>
      </x:c>
    </x:row>
    <x:row r="15">
      <x:c r="J15" t="str">
        <x:f>IF('Simulacao'!$A14&lt;='Premissas'!$B$11,TEXT('Simulacao'!$B14,"mmm yyyy"),"")</x:f>
        <x:v>Jul 2027</x:v>
      </x:c>
      <x:c r="K15" s="116" t="n">
        <x:f>IF('Simulacao'!$A14&lt;='Premissas'!$B$11,'Simulacao'!$L14,NA())</x:f>
        <x:v>22704.12417082152</x:v>
      </x:c>
      <x:c r="L15" s="116" t="n">
        <x:f>IF('Simulacao'!$A14&lt;='Premissas'!$B$11,'Simulacao'!$H14,NA())</x:f>
        <x:v>172.25495373667874</x:v>
      </x:c>
      <x:c r="N15" t="str">
        <x:f>J15</x:f>
        <x:v>Jul 2027</x:v>
      </x:c>
      <x:c r="O15" s="116" t="n">
        <x:f>L15</x:f>
        <x:v>172.25495373667874</x:v>
      </x:c>
    </x:row>
    <x:row r="16">
      <x:c r="J16" t="str">
        <x:f>IF('Simulacao'!$A15&lt;='Premissas'!$B$11,TEXT('Simulacao'!$B15,"mmm yyyy"),"")</x:f>
        <x:v>Aug 2027</x:v>
      </x:c>
      <x:c r="K16" s="116" t="n">
        <x:f>IF('Simulacao'!$A15&lt;='Premissas'!$B$11,'Simulacao'!$L15,NA())</x:f>
        <x:v>23931.528678516468</x:v>
      </x:c>
      <x:c r="L16" s="116" t="n">
        <x:f>IF('Simulacao'!$A15&lt;='Premissas'!$B$11,'Simulacao'!$H15,NA())</x:f>
        <x:v>181.9962593533053</x:v>
      </x:c>
      <x:c r="N16" t="str">
        <x:f>J16</x:f>
        <x:v>Aug 2027</x:v>
      </x:c>
      <x:c r="O16" s="116" t="n">
        <x:f>L16</x:f>
        <x:v>181.9962593533053</x:v>
      </x:c>
    </x:row>
    <x:row r="17">
      <x:c r="J17" t="str">
        <x:f>IF('Simulacao'!$A16&lt;='Premissas'!$B$11,TEXT('Simulacao'!$B16,"mmm yyyy"),"")</x:f>
        <x:v>Sep 2027</x:v>
      </x:c>
      <x:c r="K17" s="116" t="n">
        <x:f>IF('Simulacao'!$A16&lt;='Premissas'!$B$11,'Simulacao'!$L16,NA())</x:f>
        <x:v>25171.226869760492</x:v>
      </x:c>
      <x:c r="L17" s="116" t="n">
        <x:f>IF('Simulacao'!$A16&lt;='Premissas'!$B$11,'Simulacao'!$H16,NA())</x:f>
        <x:v>191.83513388698802</x:v>
      </x:c>
      <x:c r="N17" t="str">
        <x:f>J17</x:f>
        <x:v>Sep 2027</x:v>
      </x:c>
      <x:c r="O17" s="116" t="n">
        <x:f>L17</x:f>
        <x:v>191.83513388698802</x:v>
      </x:c>
    </x:row>
    <x:row r="18">
      <x:c r="J18" t="str">
        <x:f>IF('Simulacao'!$A17&lt;='Premissas'!$B$11,TEXT('Simulacao'!$B17,"mmm yyyy"),"")</x:f>
        <x:v>Oct 2027</x:v>
      </x:c>
      <x:c r="K18" s="116" t="n">
        <x:f>IF('Simulacao'!$A17&lt;='Premissas'!$B$11,'Simulacao'!$L17,NA())</x:f>
        <x:v>26423.34187808801</x:v>
      </x:c>
      <x:c r="L18" s="116" t="n">
        <x:f>IF('Simulacao'!$A17&lt;='Premissas'!$B$11,'Simulacao'!$H17,NA())</x:f>
        <x:v>201.77255458800013</x:v>
      </x:c>
      <x:c r="N18" t="str">
        <x:f>J18</x:f>
        <x:v>Oct 2027</x:v>
      </x:c>
      <x:c r="O18" s="116" t="n">
        <x:f>L18</x:f>
        <x:v>201.77255458800013</x:v>
      </x:c>
    </x:row>
    <x:row r="19">
      <x:c r="J19" t="str">
        <x:f>IF('Simulacao'!$A18&lt;='Premissas'!$B$11,TEXT('Simulacao'!$B18,"mmm yyyy"),"")</x:f>
        <x:v>Nov 2027</x:v>
      </x:c>
      <x:c r="K19" s="116" t="n">
        <x:f>IF('Simulacao'!$A18&lt;='Premissas'!$B$11,'Simulacao'!$L18,NA())</x:f>
        <x:v>27687.99807033894</x:v>
      </x:c>
      <x:c r="L19" s="116" t="n">
        <x:f>IF('Simulacao'!$A18&lt;='Premissas'!$B$11,'Simulacao'!$H18,NA())</x:f>
        <x:v>211.80950849475352</x:v>
      </x:c>
      <x:c r="N19" t="str">
        <x:f>J19</x:f>
        <x:v>Nov 2027</x:v>
      </x:c>
      <x:c r="O19" s="116" t="n">
        <x:f>L19</x:f>
        <x:v>211.80950849475352</x:v>
      </x:c>
    </x:row>
    <x:row r="20">
      <x:c r="J20" t="str">
        <x:f>IF('Simulacao'!$A19&lt;='Premissas'!$B$11,TEXT('Simulacao'!$B19,"mmm yyyy"),"")</x:f>
        <x:v>Dec 2027</x:v>
      </x:c>
      <x:c r="K20" s="116" t="n">
        <x:f>IF('Simulacao'!$A19&lt;='Premissas'!$B$11,'Simulacao'!$L19,NA())</x:f>
        <x:v>28965.321059011454</x:v>
      </x:c>
      <x:c r="L20" s="116" t="n">
        <x:f>IF('Simulacao'!$A19&lt;='Premissas'!$B$11,'Simulacao'!$H19,NA())</x:f>
        <x:v>221.94699253183694</x:v>
      </x:c>
      <x:c r="N20" t="str">
        <x:f>J20</x:f>
        <x:v>Dec 2027</x:v>
      </x:c>
      <x:c r="O20" s="116" t="n">
        <x:f>L20</x:f>
        <x:v>221.94699253183694</x:v>
      </x:c>
    </x:row>
    <x:row r="21">
      <x:c r="J21" t="str">
        <x:f>IF('Simulacao'!$A20&lt;='Premissas'!$B$11,TEXT('Simulacao'!$B20,"mmm yyyy"),"")</x:f>
        <x:v>Jan 2028</x:v>
      </x:c>
      <x:c r="K21" s="116" t="n">
        <x:f>IF('Simulacao'!$A20&lt;='Premissas'!$B$11,'Simulacao'!$L20,NA())</x:f>
        <x:v>30255.43771473852</x:v>
      </x:c>
      <x:c r="L21" s="116" t="n">
        <x:f>IF('Simulacao'!$A20&lt;='Premissas'!$B$11,'Simulacao'!$H20,NA())</x:f>
        <x:v>232.18601360903585</x:v>
      </x:c>
      <x:c r="N21" t="str">
        <x:f>J21</x:f>
        <x:v>Jan 2028</x:v>
      </x:c>
      <x:c r="O21" s="116" t="n">
        <x:f>L21</x:f>
        <x:v>232.18601360903585</x:v>
      </x:c>
    </x:row>
    <x:row r="22">
      <x:c r="J22" t="str">
        <x:f>IF('Simulacao'!$A21&lt;='Premissas'!$B$11,TEXT('Simulacao'!$B21,"mmm yyyy"),"")</x:f>
        <x:v>Feb 2028</x:v>
      </x:c>
      <x:c r="K22" s="116" t="n">
        <x:f>IF('Simulacao'!$A21&lt;='Premissas'!$B$11,'Simulacao'!$L21,NA())</x:f>
        <x:v>31558.476178889337</x:v>
      </x:c>
      <x:c r="L22" s="116" t="n">
        <x:f>IF('Simulacao'!$A21&lt;='Premissas'!$B$11,'Simulacao'!$H21,NA())</x:f>
        <x:v>242.52758872134396</x:v>
      </x:c>
      <x:c r="N22" t="str">
        <x:f>J22</x:f>
        <x:v>Feb 2028</x:v>
      </x:c>
      <x:c r="O22" s="116" t="n">
        <x:f>L22</x:f>
        <x:v>242.52758872134396</x:v>
      </x:c>
    </x:row>
    <x:row r="23">
      <x:c r="J23" t="str">
        <x:f>IF('Simulacao'!$A22&lt;='Premissas'!$B$11,TEXT('Simulacao'!$B22,"mmm yyyy"),"")</x:f>
        <x:v>Mar 2028</x:v>
      </x:c>
      <x:c r="K23" s="116" t="n">
        <x:f>IF('Simulacao'!$A22&lt;='Premissas'!$B$11,'Simulacao'!$L22,NA())</x:f>
        <x:v>32874.5658762971</x:v>
      </x:c>
      <x:c r="L23" s="116" t="n">
        <x:f>IF('Simulacao'!$A22&lt;='Premissas'!$B$11,'Simulacao'!$H22,NA())</x:f>
        <x:v>252.97274504997696</x:v>
      </x:c>
      <x:c r="N23" t="str">
        <x:f>J23</x:f>
        <x:v>Mar 2028</x:v>
      </x:c>
      <x:c r="O23" s="116" t="n">
        <x:f>L23</x:f>
        <x:v>252.97274504997696</x:v>
      </x:c>
    </x:row>
    <x:row r="24">
      <x:c r="J24" t="str">
        <x:f>IF('Simulacao'!$A23&lt;='Premissas'!$B$11,TEXT('Simulacao'!$B23,"mmm yyyy"),"")</x:f>
        <x:v>Apr 2028</x:v>
      </x:c>
      <x:c r="K24" s="116" t="n">
        <x:f>IF('Simulacao'!$A23&lt;='Premissas'!$B$11,'Simulacao'!$L23,NA())</x:f>
        <x:v>34203.83752811409</x:v>
      </x:c>
      <x:c r="L24" s="116" t="n">
        <x:f>IF('Simulacao'!$A23&lt;='Premissas'!$B$11,'Simulacao'!$H23,NA())</x:f>
        <x:v>263.52252006439755</x:v>
      </x:c>
      <x:c r="N24" t="str">
        <x:f>J24</x:f>
        <x:v>Apr 2028</x:v>
      </x:c>
      <x:c r="O24" s="116" t="n">
        <x:f>L24</x:f>
        <x:v>263.52252006439755</x:v>
      </x:c>
    </x:row>
    <x:row r="25">
      <x:c r="J25" t="str">
        <x:f>IF('Simulacao'!$A24&lt;='Premissas'!$B$11,TEXT('Simulacao'!$B24,"mmm yyyy"),"")</x:f>
        <x:v>May 2028</x:v>
      </x:c>
      <x:c r="K25" s="116" t="n">
        <x:f>IF('Simulacao'!$A24&lt;='Premissas'!$B$11,'Simulacao'!$L24,NA())</x:f>
        <x:v>35546.423164795684</x:v>
      </x:c>
      <x:c r="L25" s="116" t="n">
        <x:f>IF('Simulacao'!$A24&lt;='Premissas'!$B$11,'Simulacao'!$H24,NA())</x:f>
        <x:v>274.17796162536257</x:v>
      </x:c>
      <x:c r="N25" t="str">
        <x:f>J25</x:f>
        <x:v>May 2028</x:v>
      </x:c>
      <x:c r="O25" s="116" t="n">
        <x:f>L25</x:f>
        <x:v>274.17796162536257</x:v>
      </x:c>
    </x:row>
    <x:row r="26">
      <x:c r="J26" t="str">
        <x:f>IF('Simulacao'!$A25&lt;='Premissas'!$B$11,TEXT('Simulacao'!$B25,"mmm yyyy"),"")</x:f>
        <x:v>Jun 2028</x:v>
      </x:c>
      <x:c r="K26" s="116" t="n">
        <x:f>IF('Simulacao'!$A25&lt;='Premissas'!$B$11,'Simulacao'!$L25,NA())</x:f>
        <x:v>36902.45613921428</x:v>
      </x:c>
      <x:c r="L26" s="116" t="n">
        <x:f>IF('Simulacao'!$A25&lt;='Premissas'!$B$11,'Simulacao'!$H25,NA())</x:f>
        <x:v>284.9401280890022</x:v>
      </x:c>
      <x:c r="N26" t="str">
        <x:f>J26</x:f>
        <x:v>Jun 2028</x:v>
      </x:c>
      <x:c r="O26" s="116" t="n">
        <x:f>L26</x:f>
        <x:v>284.9401280890022</x:v>
      </x:c>
    </x:row>
    <x:row r="27">
      <x:c r="J27" t="str">
        <x:f>IF('Simulacao'!$A26&lt;='Premissas'!$B$11,TEXT('Simulacao'!$B26,"mmm yyyy"),"")</x:f>
        <x:v>Jul 2028</x:v>
      </x:c>
      <x:c r="K27" s="116" t="n">
        <x:f>IF('Simulacao'!$A26&lt;='Premissas'!$B$11,'Simulacao'!$L26,NA())</x:f>
        <x:v>38272.07113990465</x:v>
      </x:c>
      <x:c r="L27" s="116" t="n">
        <x:f>IF('Simulacao'!$A26&lt;='Premissas'!$B$11,'Simulacao'!$H26,NA())</x:f>
        <x:v>295.81008841194165</x:v>
      </x:c>
      <x:c r="N27" t="str">
        <x:f>J27</x:f>
        <x:v>Jul 2028</x:v>
      </x:c>
      <x:c r="O27" s="116" t="n">
        <x:f>L27</x:f>
        <x:v>295.81008841194165</x:v>
      </x:c>
    </x:row>
    <x:row r="28">
      <x:c r="J28" t="str">
        <x:f>IF('Simulacao'!$A27&lt;='Premissas'!$B$11,TEXT('Simulacao'!$B27,"mmm yyyy"),"")</x:f>
        <x:v>Aug 2028</x:v>
      </x:c>
      <x:c r="K28" s="116" t="n">
        <x:f>IF('Simulacao'!$A27&lt;='Premissas'!$B$11,'Simulacao'!$L27,NA())</x:f>
        <x:v>39655.40420444194</x:v>
      </x:c>
      <x:c r="L28" s="116" t="n">
        <x:f>IF('Simulacao'!$A27&lt;='Premissas'!$B$11,'Simulacao'!$H27,NA())</x:f>
        <x:v>306.7889222574757</x:v>
      </x:c>
      <x:c r="N28" t="str">
        <x:f>J28</x:f>
        <x:v>Aug 2028</x:v>
      </x:c>
      <x:c r="O28" s="116" t="n">
        <x:f>L28</x:f>
        <x:v>306.7889222574757</x:v>
      </x:c>
    </x:row>
    <x:row r="29">
      <x:c r="J29" t="str">
        <x:f>IF('Simulacao'!$A28&lt;='Premissas'!$B$11,TEXT('Simulacao'!$B28,"mmm yyyy"),"")</x:f>
        <x:v>Sep 2028</x:v>
      </x:c>
      <x:c r="K29" s="116" t="n">
        <x:f>IF('Simulacao'!$A28&lt;='Premissas'!$B$11,'Simulacao'!$L28,NA())</x:f>
        <x:v>41052.59273295363</x:v>
      </x:c>
      <x:c r="L29" s="116" t="n">
        <x:f>IF('Simulacao'!$A28&lt;='Premissas'!$B$11,'Simulacao'!$H28,NA())</x:f>
        <x:v>317.87772010280656</x:v>
      </x:c>
      <x:c r="N29" t="str">
        <x:f>J29</x:f>
        <x:v>Sep 2028</x:v>
      </x:c>
      <x:c r="O29" s="116" t="n">
        <x:f>L29</x:f>
        <x:v>317.87772010280656</x:v>
      </x:c>
    </x:row>
    <x:row r="30">
      <x:c r="J30" t="str">
        <x:f>IF('Simulacao'!$A29&lt;='Premissas'!$B$11,TEXT('Simulacao'!$B29,"mmm yyyy"),"")</x:f>
        <x:v>Oct 2028</x:v>
      </x:c>
      <x:c r="K30" s="116" t="n">
        <x:f>IF('Simulacao'!$A29&lt;='Premissas'!$B$11,'Simulacao'!$L29,NA())</x:f>
        <x:v>42463.77550176689</x:v>
      </x:c>
      <x:c r="L30" s="116" t="n">
        <x:f>IF('Simulacao'!$A29&lt;='Premissas'!$B$11,'Simulacao'!$H29,NA())</x:f>
        <x:v>329.0775833473563</x:v>
      </x:c>
      <x:c r="N30" t="str">
        <x:f>J30</x:f>
        <x:v>Oct 2028</x:v>
      </x:c>
      <x:c r="O30" s="116" t="n">
        <x:f>L30</x:f>
        <x:v>329.0775833473563</x:v>
      </x:c>
    </x:row>
    <x:row r="31">
      <x:c r="J31" t="str">
        <x:f>IF('Simulacao'!$A30&lt;='Premissas'!$B$11,TEXT('Simulacao'!$B30,"mmm yyyy"),"")</x:f>
        <x:v>Nov 2028</x:v>
      </x:c>
      <x:c r="K31" s="116" t="n">
        <x:f>IF('Simulacao'!$A30&lt;='Premissas'!$B$11,'Simulacao'!$L30,NA())</x:f>
        <x:v>43889.09267719258</x:v>
      </x:c>
      <x:c r="L31" s="116" t="n">
        <x:f>IF('Simulacao'!$A30&lt;='Premissas'!$B$11,'Simulacao'!$H30,NA())</x:f>
        <x:v>340.3896244221633</x:v>
      </x:c>
      <x:c r="N31" t="str">
        <x:f>J31</x:f>
        <x:v>Nov 2028</x:v>
      </x:c>
      <x:c r="O31" s="116" t="n">
        <x:f>L31</x:f>
        <x:v>340.3896244221633</x:v>
      </x:c>
    </x:row>
    <x:row r="32">
      <x:c r="J32" t="str">
        <x:f>IF('Simulacao'!$A31&lt;='Premissas'!$B$11,TEXT('Simulacao'!$B31,"mmm yyyy"),"")</x:f>
        <x:v>Dec 2028</x:v>
      </x:c>
      <x:c r="K32" s="116" t="n">
        <x:f>IF('Simulacao'!$A31&lt;='Premissas'!$B$11,'Simulacao'!$L31,NA())</x:f>
        <x:v>45328.68582944735</x:v>
      </x:c>
      <x:c r="L32" s="116" t="n">
        <x:f>IF('Simulacao'!$A31&lt;='Premissas'!$B$11,'Simulacao'!$H31,NA())</x:f>
        <x:v>351.8149669003758</x:v>
      </x:c>
      <x:c r="N32" t="str">
        <x:f>J32</x:f>
        <x:v>Dec 2028</x:v>
      </x:c>
      <x:c r="O32" s="116" t="n">
        <x:f>L32</x:f>
        <x:v>351.8149669003758</x:v>
      </x:c>
    </x:row>
    <x:row r="33">
      <x:c r="J33" t="str">
        <x:f>IF('Simulacao'!$A32&lt;='Premissas'!$B$11,TEXT('Simulacao'!$B32,"mmm yyyy"),"")</x:f>
        <x:v>Jan 2029</x:v>
      </x:c>
      <x:c r="K33" s="116" t="n">
        <x:f>IF('Simulacao'!$A32&lt;='Premissas'!$B$11,'Simulacao'!$L32,NA())</x:f>
        <x:v>46782.69794671509</x:v>
      </x:c>
      <x:c r="L33" s="116" t="n">
        <x:f>IF('Simulacao'!$A32&lt;='Premissas'!$B$11,'Simulacao'!$H32,NA())</x:f>
        <x:v>363.3547456088499</x:v>
      </x:c>
      <x:c r="N33" t="str">
        <x:f>J33</x:f>
        <x:v>Jan 2029</x:v>
      </x:c>
      <x:c r="O33" s="116" t="n">
        <x:f>L33</x:f>
        <x:v>363.3547456088499</x:v>
      </x:c>
    </x:row>
    <x:row r="34">
      <x:c r="J34" t="str">
        <x:f>IF('Simulacao'!$A33&lt;='Premissas'!$B$11,TEXT('Simulacao'!$B33,"mmm yyyy"),"")</x:f>
        <x:v>Feb 2029</x:v>
      </x:c>
      <x:c r="K34" s="116" t="n">
        <x:f>IF('Simulacao'!$A33&lt;='Premissas'!$B$11,'Simulacao'!$L33,NA())</x:f>
        <x:v>48251.273449349384</x:v>
      </x:c>
      <x:c r="L34" s="116" t="n">
        <x:f>IF('Simulacao'!$A33&lt;='Premissas'!$B$11,'Simulacao'!$H33,NA())</x:f>
        <x:v>375.01010674086814</x:v>
      </x:c>
      <x:c r="N34" t="str">
        <x:f>J34</x:f>
        <x:v>Feb 2029</x:v>
      </x:c>
      <x:c r="O34" s="116" t="n">
        <x:f>L34</x:f>
        <x:v>375.01010674086814</x:v>
      </x:c>
    </x:row>
    <x:row r="35">
      <x:c r="J35" t="str">
        <x:f>IF('Simulacao'!$A34&lt;='Premissas'!$B$11,TEXT('Simulacao'!$B34,"mmm yyyy"),"")</x:f>
        <x:v>Mar 2029</x:v>
      </x:c>
      <x:c r="K35" s="116" t="n">
        <x:f>IF('Simulacao'!$A34&lt;='Premissas'!$B$11,'Simulacao'!$L34,NA())</x:f>
        <x:v>49734.55820421807</x:v>
      </x:c>
      <x:c r="L35" s="116" t="n">
        <x:f>IF('Simulacao'!$A34&lt;='Premissas'!$B$11,'Simulacao'!$H34,NA())</x:f>
        <x:v>386.78220796998477</x:v>
      </x:c>
      <x:c r="N35" t="str">
        <x:f>J35</x:f>
        <x:v>Mar 2029</x:v>
      </x:c>
      <x:c r="O35" s="116" t="n">
        <x:f>L35</x:f>
        <x:v>386.78220796998477</x:v>
      </x:c>
    </x:row>
    <x:row r="36">
      <x:c r="J36" t="str">
        <x:f>IF('Simulacao'!$A35&lt;='Premissas'!$B$11,TEXT('Simulacao'!$B35,"mmm yyyy"),"")</x:f>
        <x:v>Apr 2029</x:v>
      </x:c>
      <x:c r="K36" s="116" t="n">
        <x:f>IF('Simulacao'!$A35&lt;='Premissas'!$B$11,'Simulacao'!$L35,NA())</x:f>
        <x:v>51232.699539191504</x:v>
      </x:c>
      <x:c r="L36" s="116" t="n">
        <x:f>IF('Simulacao'!$A35&lt;='Premissas'!$B$11,'Simulacao'!$H35,NA())</x:f>
        <x:v>398.672218565012</x:v>
      </x:c>
      <x:c r="N36" t="str">
        <x:f>J36</x:f>
        <x:v>Apr 2029</x:v>
      </x:c>
      <x:c r="O36" s="116" t="n">
        <x:f>L36</x:f>
        <x:v>398.672218565012</x:v>
      </x:c>
    </x:row>
    <x:row r="37">
      <x:c r="J37" t="str">
        <x:f>IF('Simulacao'!$A36&lt;='Premissas'!$B$11,TEXT('Simulacao'!$B36,"mmm yyyy"),"")</x:f>
        <x:v>May 2029</x:v>
      </x:c>
      <x:c r="K37" s="116" t="n">
        <x:f>IF('Simulacao'!$A36&lt;='Premissas'!$B$11,'Simulacao'!$L36,NA())</x:f>
        <x:v>52745.84625777605</x:v>
      </x:c>
      <x:c r="L37" s="116" t="n">
        <x:f>IF('Simulacao'!$A36&lt;='Premissas'!$B$11,'Simulacao'!$H36,NA())</x:f>
        <x:v>410.6813195061591</x:v>
      </x:c>
      <x:c r="N37" t="str">
        <x:f>J37</x:f>
        <x:v>May 2029</x:v>
      </x:c>
      <x:c r="O37" s="116" t="n">
        <x:f>L37</x:f>
        <x:v>410.6813195061591</x:v>
      </x:c>
    </x:row>
    <x:row r="38">
      <x:c r="J38" t="str">
        <x:f>IF('Simulacao'!$A37&lt;='Premissas'!$B$11,TEXT('Simulacao'!$B37,"mmm yyyy"),"")</x:f>
        <x:v>Jun 2029</x:v>
      </x:c>
      <x:c r="K38" s="116" t="n">
        <x:f>IF('Simulacao'!$A37&lt;='Premissas'!$B$11,'Simulacao'!$L37,NA())</x:f>
        <x:v>54274.14865389395</x:v>
      </x:c>
      <x:c r="L38" s="116" t="n">
        <x:f>IF('Simulacao'!$A37&lt;='Premissas'!$B$11,'Simulacao'!$H37,NA())</x:f>
        <x:v>422.8107036023329</x:v>
      </x:c>
      <x:c r="N38" t="str">
        <x:f>J38</x:f>
        <x:v>Jun 2029</x:v>
      </x:c>
      <x:c r="O38" s="116" t="n">
        <x:f>L38</x:f>
        <x:v>422.8107036023329</x:v>
      </x:c>
    </x:row>
    <x:row r="39">
      <x:c r="J39" t="str">
        <x:f>IF('Simulacao'!$A38&lt;='Premissas'!$B$11,TEXT('Simulacao'!$B38,"mmm yyyy"),"")</x:f>
        <x:v>Jul 2029</x:v>
      </x:c>
      <x:c r="K39" s="116" t="n">
        <x:f>IF('Simulacao'!$A38&lt;='Premissas'!$B$11,'Simulacao'!$L38,NA())</x:f>
        <x:v>55817.75852681134</x:v>
      </x:c>
      <x:c r="L39" s="116" t="n">
        <x:f>IF('Simulacao'!$A38&lt;='Premissas'!$B$11,'Simulacao'!$H38,NA())</x:f>
        <x:v>435.06157560961384</x:v>
      </x:c>
      <x:c r="N39" t="str">
        <x:f>J39</x:f>
        <x:v>Jul 2029</x:v>
      </x:c>
      <x:c r="O39" s="116" t="n">
        <x:f>L39</x:f>
        <x:v>435.06157560961384</x:v>
      </x:c>
    </x:row>
    <x:row r="40">
      <x:c r="J40" t="str">
        <x:f>IF('Simulacao'!$A39&lt;='Premissas'!$B$11,TEXT('Simulacao'!$B39,"mmm yyyy"),"")</x:f>
        <x:v>Aug 2029</x:v>
      </x:c>
      <x:c r="K40" s="116" t="n">
        <x:f>IF('Simulacao'!$A39&lt;='Premissas'!$B$11,'Simulacao'!$L39,NA())</x:f>
        <x:v>57376.82919621588</x:v>
      </x:c>
      <x:c r="L40" s="116" t="n">
        <x:f>IF('Simulacao'!$A39&lt;='Premissas'!$B$11,'Simulacao'!$H39,NA())</x:f>
        <x:v>447.4351523509197</x:v>
      </x:c>
      <x:c r="N40" t="str">
        <x:f>J40</x:f>
        <x:v>Aug 2029</x:v>
      </x:c>
      <x:c r="O40" s="116" t="n">
        <x:f>L40</x:f>
        <x:v>447.4351523509197</x:v>
      </x:c>
    </x:row>
    <x:row r="41">
      <x:c r="J41" t="str">
        <x:f>IF('Simulacao'!$A40&lt;='Premissas'!$B$11,TEXT('Simulacao'!$B40,"mmm yyyy"),"")</x:f>
        <x:v>Sep 2029</x:v>
      </x:c>
      <x:c r="K41" s="116" t="n">
        <x:f>IF('Simulacao'!$A40&lt;='Premissas'!$B$11,'Simulacao'!$L40,NA())</x:f>
        <x:v>58951.51551744519</x:v>
      </x:c>
      <x:c r="L41" s="116" t="n">
        <x:f>IF('Simulacao'!$A40&lt;='Premissas'!$B$11,'Simulacao'!$H40,NA())</x:f>
        <x:v>459.9326628368666</x:v>
      </x:c>
      <x:c r="N41" t="str">
        <x:f>J41</x:f>
        <x:v>Sep 2029</x:v>
      </x:c>
      <x:c r="O41" s="116" t="n">
        <x:f>L41</x:f>
        <x:v>459.9326628368666</x:v>
      </x:c>
    </x:row>
    <x:row r="42">
      <x:c r="J42" t="str">
        <x:f>IF('Simulacao'!$A41&lt;='Premissas'!$B$11,TEXT('Simulacao'!$B41,"mmm yyyy"),"")</x:f>
        <x:v>Oct 2029</x:v>
      </x:c>
      <x:c r="K42" s="116" t="n">
        <x:f>IF('Simulacao'!$A41&lt;='Premissas'!$B$11,'Simulacao'!$L41,NA())</x:f>
        <x:v>60541.973896867916</x:v>
      </x:c>
      <x:c r="L42" s="116" t="n">
        <x:f>IF('Simulacao'!$A41&lt;='Premissas'!$B$11,'Simulacao'!$H41,NA())</x:f>
        <x:v>472.5553483878406</x:v>
      </x:c>
      <x:c r="N42" t="str">
        <x:f>J42</x:f>
        <x:v>Oct 2029</x:v>
      </x:c>
      <x:c r="O42" s="116" t="n">
        <x:f>L42</x:f>
        <x:v>472.5553483878406</x:v>
      </x:c>
    </x:row>
    <x:row r="43">
      <x:c r="J43" t="str">
        <x:f>IF('Simulacao'!$A42&lt;='Premissas'!$B$11,TEXT('Simulacao'!$B42,"mmm yyyy"),"")</x:f>
        <x:v>Nov 2029</x:v>
      </x:c>
      <x:c r="K43" s="116" t="n">
        <x:f>IF('Simulacao'!$A42&lt;='Premissas'!$B$11,'Simulacao'!$L42,NA())</x:f>
        <x:v>62148.36230741893</x:v>
      </x:c>
      <x:c r="L43" s="116" t="n">
        <x:f>IF('Simulacao'!$A42&lt;='Premissas'!$B$11,'Simulacao'!$H42,NA())</x:f>
        <x:v>485.30446275729315</x:v>
      </x:c>
      <x:c r="N43" t="str">
        <x:f>J43</x:f>
        <x:v>Nov 2029</x:v>
      </x:c>
      <x:c r="O43" s="116" t="n">
        <x:f>L43</x:f>
        <x:v>485.30446275729315</x:v>
      </x:c>
    </x:row>
    <x:row r="44">
      <x:c r="J44" t="str">
        <x:f>IF('Simulacao'!$A43&lt;='Premissas'!$B$11,TEXT('Simulacao'!$B43,"mmm yyyy"),"")</x:f>
        <x:v>Dec 2029</x:v>
      </x:c>
      <x:c r="K44" s="116" t="n">
        <x:f>IF('Simulacao'!$A43&lt;='Premissas'!$B$11,'Simulacao'!$L43,NA())</x:f>
        <x:v>63770.84030429005</x:v>
      </x:c>
      <x:c r="L44" s="116" t="n">
        <x:f>IF('Simulacao'!$A43&lt;='Premissas'!$B$11,'Simulacao'!$H43,NA())</x:f>
        <x:v>498.1812722562703</x:v>
      </x:c>
      <x:c r="N44" t="str">
        <x:f>J44</x:f>
        <x:v>Dec 2029</x:v>
      </x:c>
      <x:c r="O44" s="116" t="n">
        <x:f>L44</x:f>
        <x:v>498.1812722562703</x:v>
      </x:c>
    </x:row>
    <x:row r="45">
      <x:c r="J45" t="str">
        <x:f>IF('Simulacao'!$A44&lt;='Premissas'!$B$11,TEXT('Simulacao'!$B44,"mmm yyyy"),"")</x:f>
        <x:v>Jan 2030</x:v>
      </x:c>
      <x:c r="K45" s="116" t="n">
        <x:f>IF('Simulacao'!$A44&lt;='Premissas'!$B$11,'Simulacao'!$L44,NA())</x:f>
        <x:v>65409.56904077782</x:v>
      </x:c>
      <x:c r="L45" s="116" t="n">
        <x:f>IF('Simulacao'!$A44&lt;='Premissas'!$B$11,'Simulacao'!$H44,NA())</x:f>
        <x:v>511.1870558791891</x:v>
      </x:c>
      <x:c r="N45" t="str">
        <x:f>J45</x:f>
        <x:v>Jan 2030</x:v>
      </x:c>
      <x:c r="O45" s="116" t="n">
        <x:f>L45</x:f>
        <x:v>511.1870558791891</x:v>
      </x:c>
    </x:row>
    <x:row r="46">
      <x:c r="J46" t="str">
        <x:f>IF('Simulacao'!$A45&lt;='Premissas'!$B$11,TEXT('Simulacao'!$B45,"mmm yyyy"),"")</x:f>
        <x:v>Feb 2030</x:v>
      </x:c>
      <x:c r="K46" s="116" t="n">
        <x:f>IF('Simulacao'!$A45&lt;='Premissas'!$B$11,'Simulacao'!$L45,NA())</x:f>
        <x:v>67064.71128429024</x:v>
      </x:c>
      <x:c r="L46" s="116" t="n">
        <x:f>IF('Simulacao'!$A45&lt;='Premissas'!$B$11,'Simulacao'!$H45,NA())</x:f>
        <x:v>524.323105430875</x:v>
      </x:c>
      <x:c r="N46" t="str">
        <x:f>J46</x:f>
        <x:v>Feb 2030</x:v>
      </x:c>
      <x:c r="O46" s="116" t="n">
        <x:f>L46</x:f>
        <x:v>524.323105430875</x:v>
      </x:c>
    </x:row>
    <x:row r="47">
      <x:c r="J47" t="str">
        <x:f>IF('Simulacao'!$A46&lt;='Premissas'!$B$11,TEXT('Simulacao'!$B46,"mmm yyyy"),"")</x:f>
        <x:v>Mar 2030</x:v>
      </x:c>
      <x:c r="K47" s="116" t="n">
        <x:f>IF('Simulacao'!$A46&lt;='Premissas'!$B$11,'Simulacao'!$L46,NA())</x:f>
        <x:v>68736.4314325137</x:v>
      </x:c>
      <x:c r="L47" s="116" t="n">
        <x:f>IF('Simulacao'!$A46&lt;='Premissas'!$B$11,'Simulacao'!$H46,NA())</x:f>
        <x:v>537.5907256548707</x:v>
      </x:c>
      <x:c r="N47" t="str">
        <x:f>J47</x:f>
        <x:v>Mar 2030</x:v>
      </x:c>
      <x:c r="O47" s="116" t="n">
        <x:f>L47</x:f>
        <x:v>537.5907256548707</x:v>
      </x:c>
    </x:row>
    <x:row r="48">
      <x:c r="J48" t="str">
        <x:f>IF('Simulacao'!$A47&lt;='Premissas'!$B$11,TEXT('Simulacao'!$B47,"mmm yyyy"),"")</x:f>
        <x:v>Apr 2030</x:v>
      </x:c>
      <x:c r="K48" s="116" t="n">
        <x:f>IF('Simulacao'!$A47&lt;='Premissas'!$B$11,'Simulacao'!$L47,NA())</x:f>
        <x:v>70424.89552974176</x:v>
      </x:c>
      <x:c r="L48" s="116" t="n">
        <x:f>IF('Simulacao'!$A47&lt;='Premissas'!$B$11,'Simulacao'!$H47,NA())</x:f>
        <x:v>550.9912343630299</x:v>
      </x:c>
      <x:c r="N48" t="str">
        <x:f>J48</x:f>
        <x:v>Apr 2030</x:v>
      </x:c>
      <x:c r="O48" s="116" t="n">
        <x:f>L48</x:f>
        <x:v>550.9912343630299</x:v>
      </x:c>
    </x:row>
    <x:row r="49">
      <x:c r="J49" t="str">
        <x:f>IF('Simulacao'!$A48&lt;='Premissas'!$B$11,TEXT('Simulacao'!$B48,"mmm yyyy"),"")</x:f>
        <x:v>May 2030</x:v>
      </x:c>
      <x:c r="K49" s="116" t="n">
        <x:f>IF('Simulacao'!$A48&lt;='Premissas'!$B$11,'Simulacao'!$L48,NA())</x:f>
        <x:v>72130.27128336765</x:v>
      </x:c>
      <x:c r="L49" s="116" t="n">
        <x:f>IF('Simulacao'!$A48&lt;='Premissas'!$B$11,'Simulacao'!$H48,NA())</x:f>
        <x:v>564.5259625664099</x:v>
      </x:c>
      <x:c r="N49" t="str">
        <x:f>J49</x:f>
        <x:v>May 2030</x:v>
      </x:c>
      <x:c r="O49" s="116" t="n">
        <x:f>L49</x:f>
        <x:v>564.5259625664099</x:v>
      </x:c>
    </x:row>
    <x:row r="50">
      <x:c r="J50" t="str">
        <x:f>IF('Simulacao'!$A49&lt;='Premissas'!$B$11,TEXT('Simulacao'!$B49,"mmm yyyy"),"")</x:f>
        <x:v>Jun 2030</x:v>
      </x:c>
      <x:c r="K50" s="116" t="n">
        <x:f>IF('Simulacao'!$A49&lt;='Premissas'!$B$11,'Simulacao'!$L49,NA())</x:f>
        <x:v>73852.72808054186</x:v>
      </x:c>
      <x:c r="L50" s="116" t="n">
        <x:f>IF('Simulacao'!$A49&lt;='Premissas'!$B$11,'Simulacao'!$H49,NA())</x:f>
        <x:v>578.196254607475</x:v>
      </x:c>
      <x:c r="N50" t="str">
        <x:f>J50</x:f>
        <x:v>Jun 2030</x:v>
      </x:c>
      <x:c r="O50" s="116" t="n">
        <x:f>L50</x:f>
        <x:v>578.196254607475</x:v>
      </x:c>
    </x:row>
    <x:row r="51">
      <x:c r="J51" t="str">
        <x:f>IF('Simulacao'!$A50&lt;='Premissas'!$B$11,TEXT('Simulacao'!$B50,"mmm yyyy"),"")</x:f>
        <x:v>Jul 2030</x:v>
      </x:c>
      <x:c r="K51" s="116" t="n">
        <x:f>IF('Simulacao'!$A50&lt;='Premissas'!$B$11,'Simulacao'!$L50,NA())</x:f>
        <x:v>75592.43700499657</x:v>
      </x:c>
      <x:c r="L51" s="116" t="n">
        <x:f>IF('Simulacao'!$A50&lt;='Premissas'!$B$11,'Simulacao'!$H50,NA())</x:f>
        <x:v>592.0034682936235</x:v>
      </x:c>
      <x:c r="N51" t="str">
        <x:f>J51</x:f>
        <x:v>Jul 2030</x:v>
      </x:c>
      <x:c r="O51" s="116" t="n">
        <x:f>L51</x:f>
        <x:v>592.0034682936235</x:v>
      </x:c>
    </x:row>
    <x:row r="52">
      <x:c r="J52" t="str">
        <x:f>IF('Simulacao'!$A51&lt;='Premissas'!$B$11,TEXT('Simulacao'!$B51,"mmm yyyy"),"")</x:f>
        <x:v>Aug 2030</x:v>
      </x:c>
      <x:c r="K52" s="116" t="n">
        <x:f>IF('Simulacao'!$A51&lt;='Premissas'!$B$11,'Simulacao'!$L51,NA())</x:f>
        <x:v>77349.57085403861</x:v>
      </x:c>
      <x:c r="L52" s="116" t="n">
        <x:f>IF('Simulacao'!$A51&lt;='Premissas'!$B$11,'Simulacao'!$H51,NA())</x:f>
        <x:v>605.9489750320525</x:v>
      </x:c>
      <x:c r="N52" t="str">
        <x:f>J52</x:f>
        <x:v>Aug 2030</x:v>
      </x:c>
      <x:c r="O52" s="116" t="n">
        <x:f>L52</x:f>
        <x:v>605.9489750320525</x:v>
      </x:c>
    </x:row>
    <x:row r="53">
      <x:c r="J53" t="str">
        <x:f>IF('Simulacao'!$A52&lt;='Premissas'!$B$11,TEXT('Simulacao'!$B52,"mmm yyyy"),"")</x:f>
        <x:v>Sep 2030</x:v>
      </x:c>
      <x:c r="K53" s="116" t="n">
        <x:f>IF('Simulacao'!$A52&lt;='Premissas'!$B$11,'Simulacao'!$L52,NA())</x:f>
        <x:v>79124.30415571266</x:v>
      </x:c>
      <x:c r="L53" s="116" t="n">
        <x:f>IF('Simulacao'!$A52&lt;='Premissas'!$B$11,'Simulacao'!$H52,NA())</x:f>
        <x:v>620.0341599659735</x:v>
      </x:c>
      <x:c r="N53" t="str">
        <x:f>J53</x:f>
        <x:v>Sep 2030</x:v>
      </x:c>
      <x:c r="O53" s="116" t="n">
        <x:f>L53</x:f>
        <x:v>620.0341599659735</x:v>
      </x:c>
    </x:row>
    <x:row r="54">
      <x:c r="J54" t="str">
        <x:f>IF('Simulacao'!$A53&lt;='Premissas'!$B$11,TEXT('Simulacao'!$B53,"mmm yyyy"),"")</x:f>
        <x:v>Oct 2030</x:v>
      </x:c>
      <x:c r="K54" s="116" t="n">
        <x:f>IF('Simulacao'!$A53&lt;='Premissas'!$B$11,'Simulacao'!$L53,NA())</x:f>
        <x:v>80916.81318613629</x:v>
      </x:c>
      <x:c r="L54" s="116" t="n">
        <x:f>IF('Simulacao'!$A53&lt;='Premissas'!$B$11,'Simulacao'!$H53,NA())</x:f>
        <x:v>634.2604221121927</x:v>
      </x:c>
      <x:c r="N54" t="str">
        <x:f>J54</x:f>
        <x:v>Oct 2030</x:v>
      </x:c>
      <x:c r="O54" s="116" t="n">
        <x:f>L54</x:f>
        <x:v>634.2604221121927</x:v>
      </x:c>
    </x:row>
    <x:row r="55">
      <x:c r="J55" t="str">
        <x:f>IF('Simulacao'!$A54&lt;='Premissas'!$B$11,TEXT('Simulacao'!$B54,"mmm yyyy"),"")</x:f>
        <x:v>Nov 2030</x:v>
      </x:c>
      <x:c r="K55" s="116" t="n">
        <x:f>IF('Simulacao'!$A54&lt;='Premissas'!$B$11,'Simulacao'!$L54,NA())</x:f>
        <x:v>82727.27598700862</x:v>
      </x:c>
      <x:c r="L55" s="116" t="n">
        <x:f>IF('Simulacao'!$A54&lt;='Premissas'!$B$11,'Simulacao'!$H54,NA())</x:f>
        <x:v>648.6291745000684</x:v>
      </x:c>
      <x:c r="N55" t="str">
        <x:f>J55</x:f>
        <x:v>Nov 2030</x:v>
      </x:c>
      <x:c r="O55" s="116" t="n">
        <x:f>L55</x:f>
        <x:v>648.6291745000684</x:v>
      </x:c>
    </x:row>
    <x:row r="56">
      <x:c r="J56" t="str">
        <x:f>IF('Simulacao'!$A55&lt;='Premissas'!$B$11,TEXT('Simulacao'!$B55,"mmm yyyy"),"")</x:f>
        <x:v>Dec 2030</x:v>
      </x:c>
      <x:c r="K56" s="116" t="n">
        <x:f>IF('Simulacao'!$A55&lt;='Premissas'!$B$11,'Simulacao'!$L55,NA())</x:f>
        <x:v>84555.8723832945</x:v>
      </x:c>
      <x:c r="L56" s="116" t="n">
        <x:f>IF('Simulacao'!$A55&lt;='Premissas'!$B$11,'Simulacao'!$H55,NA())</x:f>
        <x:v>663.1418443118611</x:v>
      </x:c>
      <x:c r="N56" t="str">
        <x:f>J56</x:f>
        <x:v>Dec 2030</x:v>
      </x:c>
      <x:c r="O56" s="116" t="n">
        <x:f>L56</x:f>
        <x:v>663.1418443118611</x:v>
      </x:c>
    </x:row>
    <x:row r="57">
      <x:c r="J57" t="str">
        <x:f>IF('Simulacao'!$A56&lt;='Premissas'!$B$11,TEXT('Simulacao'!$B56,"mmm yyyy"),"")</x:f>
        <x:v>Jan 2031</x:v>
      </x:c>
      <x:c r="K57" s="116" t="n">
        <x:f>IF('Simulacao'!$A56&lt;='Premissas'!$B$11,'Simulacao'!$L56,NA())</x:f>
        <x:v>86402.78400108557</x:v>
      </x:c>
      <x:c r="L57" s="116" t="n">
        <x:f>IF('Simulacao'!$A56&lt;='Premissas'!$B$11,'Simulacao'!$H56,NA())</x:f>
        <x:v>677.7998730244886</x:v>
      </x:c>
      <x:c r="N57" t="str">
        <x:f>J57</x:f>
        <x:v>Jan 2031</x:v>
      </x:c>
      <x:c r="O57" s="116" t="n">
        <x:f>L57</x:f>
        <x:v>677.7998730244886</x:v>
      </x:c>
    </x:row>
    <x:row r="58">
      <x:c r="J58" t="str">
        <x:f>IF('Simulacao'!$A57&lt;='Premissas'!$B$11,TEXT('Simulacao'!$B57,"mmm yyyy"),"")</x:f>
        <x:v>Feb 2031</x:v>
      </x:c>
      <x:c r="K58" s="116" t="n">
        <x:f>IF('Simulacao'!$A57&lt;='Premissas'!$B$11,'Simulacao'!$L57,NA())</x:f>
        <x:v>88268.19428564045</x:v>
      </x:c>
      <x:c r="L58" s="116" t="n">
        <x:f>IF('Simulacao'!$A57&lt;='Premissas'!$B$11,'Simulacao'!$H57,NA())</x:f>
        <x:v>692.6047165527019</x:v>
      </x:c>
      <x:c r="N58" t="str">
        <x:f>J58</x:f>
        <x:v>Feb 2031</x:v>
      </x:c>
      <x:c r="O58" s="116" t="n">
        <x:f>L58</x:f>
        <x:v>692.6047165527019</x:v>
      </x:c>
    </x:row>
    <x:row r="59">
      <x:c r="J59" t="str">
        <x:f>IF('Simulacao'!$A58&lt;='Premissas'!$B$11,TEXT('Simulacao'!$B58,"mmm yyyy"),"")</x:f>
        <x:v>Mar 2031</x:v>
      </x:c>
      <x:c r="K59" s="116" t="n">
        <x:f>IF('Simulacao'!$A58&lt;='Premissas'!$B$11,'Simulacao'!$L58,NA())</x:f>
        <x:v>90152.28851960541</x:v>
      </x:c>
      <x:c r="L59" s="116" t="n">
        <x:f>IF('Simulacao'!$A58&lt;='Premissas'!$B$11,'Simulacao'!$H58,NA())</x:f>
        <x:v>707.5578453936938</x:v>
      </x:c>
      <x:c r="N59" t="str">
        <x:f>J59</x:f>
        <x:v>Mar 2031</x:v>
      </x:c>
      <x:c r="O59" s="116" t="n">
        <x:f>L59</x:f>
        <x:v>707.5578453936938</x:v>
      </x:c>
    </x:row>
    <x:row r="60">
      <x:c r="J60" t="str">
        <x:f>IF('Simulacao'!$A59&lt;='Premissas'!$B$11,TEXT('Simulacao'!$B59,"mmm yyyy"),"")</x:f>
        <x:v>Apr 2031</x:v>
      </x:c>
      <x:c r="K60" s="116" t="n">
        <x:f>IF('Simulacao'!$A59&lt;='Premissas'!$B$11,'Simulacao'!$L59,NA())</x:f>
        <x:v>92055.25384141777</x:v>
      </x:c>
      <x:c r="L60" s="116" t="n">
        <x:f>IF('Simulacao'!$A59&lt;='Premissas'!$B$11,'Simulacao'!$H59,NA())</x:f>
        <x:v>722.6607447731569</x:v>
      </x:c>
      <x:c r="N60" t="str">
        <x:f>J60</x:f>
        <x:v>Apr 2031</x:v>
      </x:c>
      <x:c r="O60" s="116" t="n">
        <x:f>L60</x:f>
        <x:v>722.6607447731569</x:v>
      </x:c>
    </x:row>
    <x:row r="61">
      <x:c r="J61" t="str">
        <x:f>IF('Simulacao'!$A60&lt;='Premissas'!$B$11,TEXT('Simulacao'!$B60,"mmm yyyy"),"")</x:f>
        <x:v>May 2031</x:v>
      </x:c>
      <x:c r="K61" s="116" t="n">
        <x:f>IF('Simulacao'!$A60&lt;='Premissas'!$B$11,'Simulacao'!$L60,NA())</x:f>
        <x:v>93977.27926389343</x:v>
      </x:c>
      <x:c r="L61" s="116" t="n">
        <x:f>IF('Simulacao'!$A60&lt;='Premissas'!$B$11,'Simulacao'!$H60,NA())</x:f>
        <x:v>737.914914792805</x:v>
      </x:c>
      <x:c r="N61" t="str">
        <x:f>J61</x:f>
        <x:v>May 2031</x:v>
      </x:c>
      <x:c r="O61" s="116" t="n">
        <x:f>L61</x:f>
        <x:v>737.914914792805</x:v>
      </x:c>
    </x:row>
    <x:row r="62">
      <x:c r="J62" t="str">
        <x:f>IF('Simulacao'!$A61&lt;='Premissas'!$B$11,TEXT('Simulacao'!$B61,"mmm yyyy"),"")</x:f>
        <x:v>Jun 2031</x:v>
      </x:c>
      <x:c r="K62" s="116" t="n">
        <x:f>IF('Simulacao'!$A61&lt;='Premissas'!$B$11,'Simulacao'!$L61,NA())</x:f>
        <x:v>95918.55569300056</x:v>
      </x:c>
      <x:c r="L62" s="116" t="n">
        <x:f>IF('Simulacao'!$A61&lt;='Premissas'!$B$11,'Simulacao'!$H61,NA())</x:f>
        <x:v>753.3218705793696</x:v>
      </x:c>
      <x:c r="N62" t="str">
        <x:f>J62</x:f>
        <x:v>Jun 2031</x:v>
      </x:c>
      <x:c r="O62" s="116" t="n">
        <x:f>L62</x:f>
        <x:v>753.3218705793696</x:v>
      </x:c>
    </x:row>
    <x:row r="63">
      <x:c r="J63" t="str">
        <x:f>IF('Simulacao'!$A62&lt;='Premissas'!$B$11,TEXT('Simulacao'!$B62,"mmm yyyy"),"")</x:f>
        <x:v>Jul 2031</x:v>
      </x:c>
      <x:c r="K63" s="116" t="n">
        <x:f>IF('Simulacao'!$A62&lt;='Premissas'!$B$11,'Simulacao'!$L62,NA())</x:f>
        <x:v>97879.27594682167</x:v>
      </x:c>
      <x:c r="L63" s="116" t="n">
        <x:f>IF('Simulacao'!$A62&lt;='Premissas'!$B$11,'Simulacao'!$H62,NA())</x:f>
        <x:v>768.8831424350927</x:v>
      </x:c>
      <x:c r="N63" t="str">
        <x:f>J63</x:f>
        <x:v>Jul 2031</x:v>
      </x:c>
      <x:c r="O63" s="116" t="n">
        <x:f>L63</x:f>
        <x:v>768.8831424350927</x:v>
      </x:c>
    </x:row>
    <x:row r="64">
      <x:c r="J64" t="str">
        <x:f>IF('Simulacao'!$A63&lt;='Premissas'!$B$11,TEXT('Simulacao'!$B63,"mmm yyyy"),"")</x:f>
        <x:v>Aug 2031</x:v>
      </x:c>
      <x:c r="K64" s="116" t="n">
        <x:f>IF('Simulacao'!$A63&lt;='Premissas'!$B$11,'Simulacao'!$L63,NA())</x:f>
        <x:v>99859.63477470503</x:v>
      </x:c>
      <x:c r="L64" s="116" t="n">
        <x:f>IF('Simulacao'!$A63&lt;='Premissas'!$B$11,'Simulacao'!$H63,NA())</x:f>
        <x:v>784.6002759897225</x:v>
      </x:c>
      <x:c r="N64" t="str">
        <x:f>J64</x:f>
        <x:v>Aug 2031</x:v>
      </x:c>
      <x:c r="O64" s="116" t="n">
        <x:f>L64</x:f>
        <x:v>784.6002759897225</x:v>
      </x:c>
    </x:row>
    <x:row r="65">
      <x:c r="J65" t="str">
        <x:f>IF('Simulacao'!$A64&lt;='Premissas'!$B$11,TEXT('Simulacao'!$B64,"mmm yyyy"),"")</x:f>
        <x:v>Sep 2031</x:v>
      </x:c>
      <x:c r="K65" s="116" t="n">
        <x:f>IF('Simulacao'!$A64&lt;='Premissas'!$B$11,'Simulacao'!$L64,NA())</x:f>
        <x:v>101859.82887660849</x:v>
      </x:c>
      <x:c r="L65" s="116" t="n">
        <x:f>IF('Simulacao'!$A64&lt;='Premissas'!$B$11,'Simulacao'!$H64,NA())</x:f>
        <x:v>800.4748323540356</x:v>
      </x:c>
      <x:c r="N65" t="str">
        <x:f>J65</x:f>
        <x:v>Sep 2031</x:v>
      </x:c>
      <x:c r="O65" s="116" t="n">
        <x:f>L65</x:f>
        <x:v>800.4748323540356</x:v>
      </x:c>
    </x:row>
    <x:row r="66">
      <x:c r="J66" t="str">
        <x:f>IF('Simulacao'!$A65&lt;='Premissas'!$B$11,TEXT('Simulacao'!$B65,"mmm yyyy"),"")</x:f>
        <x:v>Oct 2031</x:v>
      </x:c>
      <x:c r="K66" s="116" t="n">
        <x:f>IF('Simulacao'!$A65&lt;='Premissas'!$B$11,'Simulacao'!$L65,NA())</x:f>
        <x:v>103880.05692263658</x:v>
      </x:c>
      <x:c r="L66" s="116" t="n">
        <x:f>IF('Simulacao'!$A65&lt;='Premissas'!$B$11,'Simulacao'!$H65,NA())</x:f>
        <x:v>816.5083882748935</x:v>
      </x:c>
      <x:c r="N66" t="str">
        <x:f>J66</x:f>
        <x:v>Oct 2031</x:v>
      </x:c>
      <x:c r="O66" s="116" t="n">
        <x:f>L66</x:f>
        <x:v>816.5083882748935</x:v>
      </x:c>
    </x:row>
    <x:row r="67">
      <x:c r="J67" t="str">
        <x:f>IF('Simulacao'!$A66&lt;='Premissas'!$B$11,TEXT('Simulacao'!$B66,"mmm yyyy"),"")</x:f>
        <x:v>Nov 2031</x:v>
      </x:c>
      <x:c r="K67" s="116" t="n">
        <x:f>IF('Simulacao'!$A66&lt;='Premissas'!$B$11,'Simulacao'!$L66,NA())</x:f>
        <x:v>105920.5195727737</x:v>
      </x:c>
      <x:c r="L67" s="116" t="n">
        <x:f>IF('Simulacao'!$A66&lt;='Premissas'!$B$11,'Simulacao'!$H66,NA())</x:f>
        <x:v>832.7025362918548</x:v>
      </x:c>
      <x:c r="N67" t="str">
        <x:f>J67</x:f>
        <x:v>Nov 2031</x:v>
      </x:c>
      <x:c r="O67" s="116" t="n">
        <x:f>L67</x:f>
        <x:v>832.7025362918548</x:v>
      </x:c>
    </x:row>
    <x:row r="68">
      <x:c r="J68" t="str">
        <x:f>IF('Simulacao'!$A67&lt;='Premissas'!$B$11,TEXT('Simulacao'!$B67,"mmm yyyy"),"")</x:f>
        <x:v>Dec 2031</x:v>
      </x:c>
      <x:c r="K68" s="116" t="n">
        <x:f>IF('Simulacao'!$A67&lt;='Premissas'!$B$11,'Simulacao'!$L67,NA())</x:f>
        <x:v>107981.41949681462</x:v>
      </x:c>
      <x:c r="L68" s="116" t="n">
        <x:f>IF('Simulacao'!$A67&lt;='Premissas'!$B$11,'Simulacao'!$H67,NA())</x:f>
        <x:v>849.058884895354</x:v>
      </x:c>
      <x:c r="N68" t="str">
        <x:f>J68</x:f>
        <x:v>Dec 2031</x:v>
      </x:c>
      <x:c r="O68" s="116" t="n">
        <x:f>L68</x:f>
        <x:v>849.058884895354</x:v>
      </x:c>
    </x:row>
    <x:row r="69">
      <x:c r="J69" t="str">
        <x:f>IF('Simulacao'!$A68&lt;='Premissas'!$B$11,TEXT('Simulacao'!$B68,"mmm yyyy"),"")</x:f>
        <x:v>Jan 2032</x:v>
      </x:c>
      <x:c r="K69" s="116" t="n">
        <x:f>IF('Simulacao'!$A68&lt;='Premissas'!$B$11,'Simulacao'!$L68,NA())</x:f>
        <x:v>110062.96139449469</x:v>
      </x:c>
      <x:c r="L69" s="116" t="n">
        <x:f>IF('Simulacao'!$A68&lt;='Premissas'!$B$11,'Simulacao'!$H68,NA())</x:f>
        <x:v>865.5790586864657</x:v>
      </x:c>
      <x:c r="N69" t="str">
        <x:f>J69</x:f>
        <x:v>Jan 2032</x:v>
      </x:c>
      <x:c r="O69" s="116" t="n">
        <x:f>L69</x:f>
        <x:v>865.5790586864657</x:v>
      </x:c>
    </x:row>
    <x:row r="70">
      <x:c r="J70" t="str">
        <x:f>IF('Simulacao'!$A69&lt;='Premissas'!$B$11,TEXT('Simulacao'!$B69,"mmm yyyy"),"")</x:f>
        <x:v>Feb 2032</x:v>
      </x:c>
      <x:c r="K70" s="116" t="n">
        <x:f>IF('Simulacao'!$A69&lt;='Premissas'!$B$11,'Simulacao'!$L69,NA())</x:f>
        <x:v>112165.35201582198</x:v>
      </x:c>
      <x:c r="L70" s="116" t="n">
        <x:f>IF('Simulacao'!$A69&lt;='Premissas'!$B$11,'Simulacao'!$H69,NA())</x:f>
        <x:v>882.2646985382696</x:v>
      </x:c>
      <x:c r="N70" t="str">
        <x:f>J70</x:f>
        <x:v>Feb 2032</x:v>
      </x:c>
      <x:c r="O70" s="116" t="n">
        <x:f>L70</x:f>
        <x:v>882.2646985382696</x:v>
      </x:c>
    </x:row>
    <x:row r="71">
      <x:c r="J71" t="str">
        <x:f>IF('Simulacao'!$A70&lt;='Premissas'!$B$11,TEXT('Simulacao'!$B70,"mmm yyyy"),"")</x:f>
        <x:v>Mar 2032</x:v>
      </x:c>
      <x:c r="K71" s="116" t="n">
        <x:f>IF('Simulacao'!$A70&lt;='Premissas'!$B$11,'Simulacao'!$L70,NA())</x:f>
        <x:v>114288.80018161245</x:v>
      </x:c>
      <x:c r="L71" s="116" t="n">
        <x:f>IF('Simulacao'!$A70&lt;='Premissas'!$B$11,'Simulacao'!$H70,NA())</x:f>
        <x:v>899.117461758829</x:v>
      </x:c>
      <x:c r="N71" t="str">
        <x:f>J71</x:f>
        <x:v>Mar 2032</x:v>
      </x:c>
      <x:c r="O71" s="116" t="n">
        <x:f>L71</x:f>
        <x:v>899.117461758829</x:v>
      </x:c>
    </x:row>
    <x:row r="72">
      <x:c r="J72" t="str">
        <x:f>IF('Simulacao'!$A71&lt;='Premissas'!$B$11,TEXT('Simulacao'!$B71,"mmm yyyy"),"")</x:f>
        <x:v>Apr 2032</x:v>
      </x:c>
      <x:c r="K72" s="116" t="n">
        <x:f>IF('Simulacao'!$A71&lt;='Premissas'!$B$11,'Simulacao'!$L71,NA())</x:f>
        <x:v>116433.51680423148</x:v>
      </x:c>
      <x:c r="L72" s="116" t="n">
        <x:f>IF('Simulacao'!$A71&lt;='Premissas'!$B$11,'Simulacao'!$H71,NA())</x:f>
        <x:v>916.1390222558055</x:v>
      </x:c>
      <x:c r="N72" t="str">
        <x:f>J72</x:f>
        <x:v>Apr 2032</x:v>
      </x:c>
      <x:c r="O72" s="116" t="n">
        <x:f>L72</x:f>
        <x:v>916.1390222558055</x:v>
      </x:c>
    </x:row>
    <x:row r="73">
      <x:c r="J73" t="str">
        <x:f>IF('Simulacao'!$A72&lt;='Premissas'!$B$11,TEXT('Simulacao'!$B72,"mmm yyyy"),"")</x:f>
        <x:v>May 2032</x:v>
      </x:c>
      <x:c r="K73" s="116" t="n">
        <x:f>IF('Simulacao'!$A72&lt;='Premissas'!$B$11,'Simulacao'!$L72,NA())</x:f>
        <x:v>118599.71490854266</x:v>
      </x:c>
      <x:c r="L73" s="116" t="n">
        <x:f>IF('Simulacao'!$A72&lt;='Premissas'!$B$11,'Simulacao'!$H72,NA())</x:f>
        <x:v>933.3310707027196</x:v>
      </x:c>
      <x:c r="N73" t="str">
        <x:f>J73</x:f>
        <x:v>May 2032</x:v>
      </x:c>
      <x:c r="O73" s="116" t="n">
        <x:f>L73</x:f>
        <x:v>933.3310707027196</x:v>
      </x:c>
    </x:row>
    <x:row r="74">
      <x:c r="J74" t="str">
        <x:f>IF('Simulacao'!$A73&lt;='Premissas'!$B$11,TEXT('Simulacao'!$B73,"mmm yyyy"),"")</x:f>
        <x:v>Jun 2032</x:v>
      </x:c>
      <x:c r="K74" s="116" t="n">
        <x:f>IF('Simulacao'!$A73&lt;='Premissas'!$B$11,'Simulacao'!$L73,NA())</x:f>
        <x:v>120787.60965306663</x:v>
      </x:c>
      <x:c r="L74" s="116" t="n">
        <x:f>IF('Simulacao'!$A73&lt;='Premissas'!$B$11,'Simulacao'!$H73,NA())</x:f>
        <x:v>950.695314706878</x:v>
      </x:c>
      <x:c r="N74" t="str">
        <x:f>J74</x:f>
        <x:v>Jun 2032</x:v>
      </x:c>
      <x:c r="O74" s="116" t="n">
        <x:f>L74</x:f>
        <x:v>950.695314706878</x:v>
      </x:c>
    </x:row>
    <x:row r="75">
      <x:c r="J75" t="str">
        <x:f>IF('Simulacao'!$A74&lt;='Premissas'!$B$11,TEXT('Simulacao'!$B74,"mmm yyyy"),"")</x:f>
        <x:v>Jul 2032</x:v>
      </x:c>
      <x:c r="K75" s="116" t="n">
        <x:f>IF('Simulacao'!$A74&lt;='Premissas'!$B$11,'Simulacao'!$L74,NA())</x:f>
        <x:v>122997.41835135173</x:v>
      </x:c>
      <x:c r="L75" s="116" t="n">
        <x:f>IF('Simulacao'!$A74&lt;='Premissas'!$B$11,'Simulacao'!$H74,NA())</x:f>
        <x:v>968.2334789789821</x:v>
      </x:c>
      <x:c r="N75" t="str">
        <x:f>J75</x:f>
        <x:v>Jul 2032</x:v>
      </x:c>
      <x:c r="O75" s="116" t="n">
        <x:f>L75</x:f>
        <x:v>968.2334789789821</x:v>
      </x:c>
    </x:row>
    <x:row r="76">
      <x:c r="J76" t="str">
        <x:f>IF('Simulacao'!$A75&lt;='Premissas'!$B$11,TEXT('Simulacao'!$B75,"mmm yyyy"),"")</x:f>
        <x:v>Aug 2032</x:v>
      </x:c>
      <x:c r="K76" s="116" t="n">
        <x:f>IF('Simulacao'!$A75&lt;='Premissas'!$B$11,'Simulacao'!$L75,NA())</x:f>
        <x:v>125229.36049355888</x:v>
      </x:c>
      <x:c r="L76" s="116" t="n">
        <x:f>IF('Simulacao'!$A75&lt;='Premissas'!$B$11,'Simulacao'!$H75,NA())</x:f>
        <x:v>985.9473055044356</x:v>
      </x:c>
      <x:c r="N76" t="str">
        <x:f>J76</x:f>
        <x:v>Aug 2032</x:v>
      </x:c>
      <x:c r="O76" s="116" t="n">
        <x:f>L76</x:f>
        <x:v>985.9473055044356</x:v>
      </x:c>
    </x:row>
    <x:row r="77">
      <x:c r="J77" t="str">
        <x:f>IF('Simulacao'!$A76&lt;='Premissas'!$B$11,TEXT('Simulacao'!$B76,"mmm yyyy"),"")</x:f>
        <x:v>Sep 2032</x:v>
      </x:c>
      <x:c r="K77" s="116" t="n">
        <x:f>IF('Simulacao'!$A76&lt;='Premissas'!$B$11,'Simulacao'!$L76,NA())</x:f>
        <x:v>127483.65776826238</x:v>
      </x:c>
      <x:c r="L77" s="116" t="n">
        <x:f>IF('Simulacao'!$A76&lt;='Premissas'!$B$11,'Simulacao'!$H76,NA())</x:f>
        <x:v>1003.838553716368</x:v>
      </x:c>
      <x:c r="N77" t="str">
        <x:f>J77</x:f>
        <x:v>Sep 2032</x:v>
      </x:c>
      <x:c r="O77" s="116" t="n">
        <x:f>L77</x:f>
        <x:v>1003.838553716368</x:v>
      </x:c>
    </x:row>
    <x:row r="78">
      <x:c r="J78" t="str">
        <x:f>IF('Simulacao'!$A77&lt;='Premissas'!$B$11,TEXT('Simulacao'!$B77,"mmm yyyy"),"")</x:f>
        <x:v>Oct 2032</x:v>
      </x:c>
      <x:c r="K78" s="116" t="n">
        <x:f>IF('Simulacao'!$A77&lt;='Premissas'!$B$11,'Simulacao'!$L77,NA())</x:f>
        <x:v>129760.5340844693</x:v>
      </x:c>
      <x:c r="L78" s="116" t="n">
        <x:f>IF('Simulacao'!$A77&lt;='Premissas'!$B$11,'Simulacao'!$H77,NA())</x:f>
        <x:v>1021.9090006703913</x:v>
      </x:c>
      <x:c r="N78" t="str">
        <x:f>J78</x:f>
        <x:v>Oct 2032</x:v>
      </x:c>
      <x:c r="O78" s="116" t="n">
        <x:f>L78</x:f>
        <x:v>1021.9090006703913</x:v>
      </x:c>
    </x:row>
    <x:row r="79">
      <x:c r="J79" t="str">
        <x:f>IF('Simulacao'!$A78&lt;='Premissas'!$B$11,TEXT('Simulacao'!$B78,"mmm yyyy"),"")</x:f>
        <x:v>Nov 2032</x:v>
      </x:c>
      <x:c r="K79" s="116" t="n">
        <x:f>IF('Simulacao'!$A78&lt;='Premissas'!$B$11,'Simulacao'!$L78,NA())</x:f>
        <x:v>132060.21559385935</x:v>
      </x:c>
      <x:c r="L79" s="116" t="n">
        <x:f>IF('Simulacao'!$A78&lt;='Premissas'!$B$11,'Simulacao'!$H78,NA())</x:f>
        <x:v>1040.1604412211059</x:v>
      </x:c>
      <x:c r="N79" t="str">
        <x:f>J79</x:f>
        <x:v>Nov 2032</x:v>
      </x:c>
      <x:c r="O79" s="116" t="n">
        <x:f>L79</x:f>
        <x:v>1040.1604412211059</x:v>
      </x:c>
    </x:row>
    <x:row r="80">
      <x:c r="J80" t="str">
        <x:f>IF('Simulacao'!$A79&lt;='Premissas'!$B$11,TEXT('Simulacao'!$B79,"mmm yyyy"),"")</x:f>
        <x:v>Dec 2032</x:v>
      </x:c>
      <x:c r="K80" s="116" t="n">
        <x:f>IF('Simulacao'!$A79&lt;='Premissas'!$B$11,'Simulacao'!$L79,NA())</x:f>
        <x:v>134382.93071324742</x:v>
      </x:c>
      <x:c r="L80" s="116" t="n">
        <x:f>IF('Simulacao'!$A79&lt;='Premissas'!$B$11,'Simulacao'!$H79,NA())</x:f>
        <x:v>1058.5946882003766</x:v>
      </x:c>
      <x:c r="N80" t="str">
        <x:f>J80</x:f>
        <x:v>Dec 2032</x:v>
      </x:c>
      <x:c r="O80" s="116" t="n">
        <x:f>L80</x:f>
        <x:v>1058.5946882003766</x:v>
      </x:c>
    </x:row>
    <x:row r="81">
      <x:c r="J81" t="str">
        <x:f>IF('Simulacao'!$A80&lt;='Premissas'!$B$11,TEXT('Simulacao'!$B80,"mmm yyyy"),"")</x:f>
        <x:v>Jan 2033</x:v>
      </x:c>
      <x:c r="K81" s="116" t="n">
        <x:f>IF('Simulacao'!$A80&lt;='Premissas'!$B$11,'Simulacao'!$L80,NA())</x:f>
        <x:v>136728.91014727132</x:v>
      </x:c>
      <x:c r="L81" s="116" t="n">
        <x:f>IF('Simulacao'!$A80&lt;='Premissas'!$B$11,'Simulacao'!$H80,NA())</x:f>
        <x:v>1077.2135725973915</x:v>
      </x:c>
      <x:c r="N81" t="str">
        <x:f>J81</x:f>
        <x:v>Jan 2033</x:v>
      </x:c>
      <x:c r="O81" s="116" t="n">
        <x:f>L81</x:f>
        <x:v>1077.2135725973915</x:v>
      </x:c>
    </x:row>
    <x:row r="82">
      <x:c r="J82" t="str">
        <x:f>IF('Simulacao'!$A81&lt;='Premissas'!$B$11,TEXT('Simulacao'!$B81,"mmm yyyy"),"")</x:f>
        <x:v>Feb 2033</x:v>
      </x:c>
      <x:c r="K82" s="116" t="n">
        <x:f>IF('Simulacao'!$A81&lt;='Premissas'!$B$11,'Simulacao'!$L81,NA())</x:f>
        <x:v>139098.38691130636</x:v>
      </x:c>
      <x:c r="L82" s="116" t="n">
        <x:f>IF('Simulacao'!$A81&lt;='Premissas'!$B$11,'Simulacao'!$H81,NA())</x:f>
        <x:v>1096.0189437405268</x:v>
      </x:c>
      <x:c r="N82" t="str">
        <x:f>J82</x:f>
        <x:v>Feb 2033</x:v>
      </x:c>
      <x:c r="O82" s="116" t="n">
        <x:f>L82</x:f>
        <x:v>1096.0189437405268</x:v>
      </x:c>
    </x:row>
    <x:row r="83">
      <x:c r="J83" t="str">
        <x:f>IF('Simulacao'!$A82&lt;='Premissas'!$B$11,TEXT('Simulacao'!$B82,"mmm yyyy"),"")</x:f>
        <x:v>Mar 2033</x:v>
      </x:c>
      <x:c r="K83" s="116" t="n">
        <x:f>IF('Simulacao'!$A82&lt;='Premissas'!$B$11,'Simulacao'!$L82,NA())</x:f>
        <x:v>141491.59635461</x:v>
      </x:c>
      <x:c r="L83" s="116" t="n">
        <x:f>IF('Simulacao'!$A82&lt;='Premissas'!$B$11,'Simulacao'!$H82,NA())</x:f>
        <x:v>1115.012669481032</x:v>
      </x:c>
      <x:c r="N83" t="str">
        <x:f>J83</x:f>
        <x:v>Mar 2033</x:v>
      </x:c>
      <x:c r="O83" s="116" t="n">
        <x:f>L83</x:f>
        <x:v>1115.012669481032</x:v>
      </x:c>
    </x:row>
    <x:row r="84">
      <x:c r="J84" t="str">
        <x:f>IF('Simulacao'!$A83&lt;='Premissas'!$B$11,TEXT('Simulacao'!$B83,"mmm yyyy"),"")</x:f>
        <x:v>Apr 2033</x:v>
      </x:c>
      <x:c r="K84" s="116" t="n">
        <x:f>IF('Simulacao'!$A83&lt;='Premissas'!$B$11,'Simulacao'!$L83,NA())</x:f>
        <x:v>143908.7761836978</x:v>
      </x:c>
      <x:c r="L84" s="116" t="n">
        <x:f>IF('Simulacao'!$A83&lt;='Premissas'!$B$11,'Simulacao'!$H83,NA())</x:f>
        <x:v>1134.1966363785539</x:v>
      </x:c>
      <x:c r="N84" t="str">
        <x:f>J84</x:f>
        <x:v>Apr 2033</x:v>
      </x:c>
      <x:c r="O84" s="116" t="n">
        <x:f>L84</x:f>
        <x:v>1134.1966363785539</x:v>
      </x:c>
    </x:row>
    <x:row r="85">
      <x:c r="J85" t="str">
        <x:f>IF('Simulacao'!$A84&lt;='Premissas'!$B$11,TEXT('Simulacao'!$B84,"mmm yyyy"),"")</x:f>
        <x:v>May 2033</x:v>
      </x:c>
      <x:c r="K85" s="116" t="n">
        <x:f>IF('Simulacao'!$A84&lt;='Premissas'!$B$11,'Simulacao'!$L84,NA())</x:f>
        <x:v>146350.1664859537</x:v>
      </x:c>
      <x:c r="L85" s="116" t="n">
        <x:f>IF('Simulacao'!$A84&lt;='Premissas'!$B$11,'Simulacao'!$H84,NA())</x:f>
        <x:v>1153.5727498885217</x:v>
      </x:c>
      <x:c r="N85" t="str">
        <x:f>J85</x:f>
        <x:v>May 2033</x:v>
      </x:c>
      <x:c r="O85" s="116" t="n">
        <x:f>L85</x:f>
        <x:v>1153.5727498885217</x:v>
      </x:c>
    </x:row>
    <x:row r="86">
      <x:c r="J86" t="str">
        <x:f>IF('Simulacao'!$A85&lt;='Premissas'!$B$11,TEXT('Simulacao'!$B85,"mmm yyyy"),"")</x:f>
        <x:v>Jun 2033</x:v>
      </x:c>
      <x:c r="K86" s="116" t="n">
        <x:f>IF('Simulacao'!$A85&lt;='Premissas'!$B$11,'Simulacao'!$L85,NA())</x:f>
        <x:v>148816.009753477</x:v>
      </x:c>
      <x:c r="L86" s="116" t="n">
        <x:f>IF('Simulacao'!$A85&lt;='Premissas'!$B$11,'Simulacao'!$H85,NA())</x:f>
        <x:v>1173.1429345514048</x:v>
      </x:c>
      <x:c r="N86" t="str">
        <x:f>J86</x:f>
        <x:v>Jun 2033</x:v>
      </x:c>
      <x:c r="O86" s="116" t="n">
        <x:f>L86</x:f>
        <x:v>1173.1429345514048</x:v>
      </x:c>
    </x:row>
    <x:row r="87">
      <x:c r="J87" t="str">
        <x:f>IF('Simulacao'!$A86&lt;='Premissas'!$B$11,TEXT('Simulacao'!$B86,"mmm yyyy"),"")</x:f>
        <x:v>Jul 2033</x:v>
      </x:c>
      <x:c r="K87" s="116" t="n">
        <x:f>IF('Simulacao'!$A86&lt;='Premissas'!$B$11,'Simulacao'!$L86,NA())</x:f>
        <x:v>151306.5509071678</x:v>
      </x:c>
      <x:c r="L87" s="116" t="n">
        <x:f>IF('Simulacao'!$A86&lt;='Premissas'!$B$11,'Simulacao'!$H86,NA())</x:f>
        <x:v>1192.9091341838716</x:v>
      </x:c>
      <x:c r="N87" t="str">
        <x:f>J87</x:f>
        <x:v>Jul 2033</x:v>
      </x:c>
      <x:c r="O87" s="116" t="n">
        <x:f>L87</x:f>
        <x:v>1192.9091341838716</x:v>
      </x:c>
    </x:row>
    <x:row r="88">
      <x:c r="J88" t="str">
        <x:f>IF('Simulacao'!$A87&lt;='Premissas'!$B$11,TEXT('Simulacao'!$B87,"mmm yyyy"),"")</x:f>
        <x:v>Aug 2033</x:v>
      </x:c>
      <x:c r="K88" s="116" t="n">
        <x:f>IF('Simulacao'!$A87&lt;='Premissas'!$B$11,'Simulacao'!$L87,NA())</x:f>
        <x:v>153822.03732105406</x:v>
      </x:c>
      <x:c r="L88" s="116" t="n">
        <x:f>IF('Simulacao'!$A87&lt;='Premissas'!$B$11,'Simulacao'!$H87,NA())</x:f>
        <x:v>1212.8733120718575</x:v>
      </x:c>
      <x:c r="N88" t="str">
        <x:f>J88</x:f>
        <x:v>Aug 2033</x:v>
      </x:c>
      <x:c r="O88" s="116" t="n">
        <x:f>L88</x:f>
        <x:v>1212.8733120718575</x:v>
      </x:c>
    </x:row>
    <x:row r="89">
      <x:c r="J89" t="str">
        <x:f>IF('Simulacao'!$A88&lt;='Premissas'!$B$11,TEXT('Simulacao'!$B88,"mmm yyyy"),"")</x:f>
        <x:v>Sep 2033</x:v>
      </x:c>
      <x:c r="K89" s="116" t="n">
        <x:f>IF('Simulacao'!$A88&lt;='Premissas'!$B$11,'Simulacao'!$L88,NA())</x:f>
        <x:v>156362.71884686174</x:v>
      </x:c>
      <x:c r="L89" s="116" t="n">
        <x:f>IF('Simulacao'!$A88&lt;='Premissas'!$B$11,'Simulacao'!$H88,NA())</x:f>
        <x:v>1233.0374511655693</x:v>
      </x:c>
      <x:c r="N89" t="str">
        <x:f>J89</x:f>
        <x:v>Sep 2033</x:v>
      </x:c>
      <x:c r="O89" s="116" t="n">
        <x:f>L89</x:f>
        <x:v>1233.0374511655693</x:v>
      </x:c>
    </x:row>
    <x:row r="90">
      <x:c r="J90" t="str">
        <x:f>IF('Simulacao'!$A89&lt;='Premissas'!$B$11,TEXT('Simulacao'!$B89,"mmm yyyy"),"")</x:f>
        <x:v>Oct 2033</x:v>
      </x:c>
      <x:c r="K90" s="116" t="n">
        <x:f>IF('Simulacao'!$A89&lt;='Premissas'!$B$11,'Simulacao'!$L89,NA())</x:f>
        <x:v>158928.8478388319</x:v>
      </x:c>
      <x:c r="L90" s="116" t="n">
        <x:f>IF('Simulacao'!$A89&lt;='Premissas'!$B$11,'Simulacao'!$H89,NA())</x:f>
        <x:v>1253.4035542764436</x:v>
      </x:c>
      <x:c r="N90" t="str">
        <x:f>J90</x:f>
        <x:v>Oct 2033</x:v>
      </x:c>
      <x:c r="O90" s="116" t="n">
        <x:f>L90</x:f>
        <x:v>1253.4035542764436</x:v>
      </x:c>
    </x:row>
    <x:row r="91">
      <x:c r="J91" t="str">
        <x:f>IF('Simulacao'!$A90&lt;='Premissas'!$B$11,TEXT('Simulacao'!$B90,"mmm yyyy"),"")</x:f>
        <x:v>Nov 2033</x:v>
      </x:c>
      <x:c r="K91" s="116" t="n">
        <x:f>IF('Simulacao'!$A90&lt;='Premissas'!$B$11,'Simulacao'!$L90,NA())</x:f>
        <x:v>161520.67917878562</x:v>
      </x:c>
      <x:c r="L91" s="116" t="n">
        <x:f>IF('Simulacao'!$A90&lt;='Premissas'!$B$11,'Simulacao'!$H90,NA())</x:f>
        <x:v>1273.9736442760764</x:v>
      </x:c>
      <x:c r="N91" t="str">
        <x:f>J91</x:f>
        <x:v>Nov 2033</x:v>
      </x:c>
      <x:c r="O91" s="116" t="n">
        <x:f>L91</x:f>
        <x:v>1273.9736442760764</x:v>
      </x:c>
    </x:row>
    <x:row r="92">
      <x:c r="J92" t="str">
        <x:f>IF('Simulacao'!$A91&lt;='Premissas'!$B$11,TEXT('Simulacao'!$B91,"mmm yyyy"),"")</x:f>
        <x:v>Dec 2033</x:v>
      </x:c>
      <x:c r="K92" s="116" t="n">
        <x:f>IF('Simulacao'!$A91&lt;='Premissas'!$B$11,'Simulacao'!$L91,NA())</x:f>
        <x:v>164138.4703014403</x:v>
      </x:c>
      <x:c r="L92" s="116" t="n">
        <x:f>IF('Simulacao'!$A91&lt;='Premissas'!$B$11,'Simulacao'!$H91,NA())</x:f>
        <x:v>1294.7497642971455</x:v>
      </x:c>
      <x:c r="N92" t="str">
        <x:f>J92</x:f>
        <x:v>Dec 2033</x:v>
      </x:c>
      <x:c r="O92" s="116" t="n">
        <x:f>L92</x:f>
        <x:v>1294.7497642971455</x:v>
      </x:c>
    </x:row>
    <x:row r="93">
      <x:c r="J93" t="str">
        <x:f>IF('Simulacao'!$A92&lt;='Premissas'!$B$11,TEXT('Simulacao'!$B92,"mmm yyyy"),"")</x:f>
        <x:v>Jan 2034</x:v>
      </x:c>
      <x:c r="K93" s="116" t="n">
        <x:f>IF('Simulacao'!$A92&lt;='Premissas'!$B$11,'Simulacao'!$L92,NA())</x:f>
        <x:v>166782.48121997956</x:v>
      </x:c>
      <x:c r="L93" s="116" t="n">
        <x:f>IF('Simulacao'!$A92&lt;='Premissas'!$B$11,'Simulacao'!$H92,NA())</x:f>
        <x:v>1315.7339779363456</x:v>
      </x:c>
      <x:c r="N93" t="str">
        <x:f>J93</x:f>
        <x:v>Jan 2034</x:v>
      </x:c>
      <x:c r="O93" s="116" t="n">
        <x:f>L93</x:f>
        <x:v>1315.7339779363456</x:v>
      </x:c>
    </x:row>
    <x:row r="94">
      <x:c r="J94" t="str">
        <x:f>IF('Simulacao'!$A93&lt;='Premissas'!$B$11,TEXT('Simulacao'!$B93,"mmm yyyy"),"")</x:f>
        <x:v>Feb 2034</x:v>
      </x:c>
      <x:c r="K94" s="116" t="n">
        <x:f>IF('Simulacao'!$A93&lt;='Premissas'!$B$11,'Simulacao'!$L93,NA())</x:f>
        <x:v>169452.97455187887</x:v>
      </x:c>
      <x:c r="L94" s="116" t="n">
        <x:f>IF('Simulacao'!$A93&lt;='Premissas'!$B$11,'Simulacao'!$H93,NA())</x:f>
        <x:v>1336.9283694593562</x:v>
      </x:c>
      <x:c r="N94" t="str">
        <x:f>J94</x:f>
        <x:v>Feb 2034</x:v>
      </x:c>
      <x:c r="O94" s="116" t="n">
        <x:f>L94</x:f>
        <x:v>1336.9283694593562</x:v>
      </x:c>
    </x:row>
    <x:row r="95">
      <x:c r="J95" t="str">
        <x:f>IF('Simulacao'!$A94&lt;='Premissas'!$B$11,TEXT('Simulacao'!$B94,"mmm yyyy"),"")</x:f>
        <x:v>Mar 2034</x:v>
      </x:c>
      <x:c r="K95" s="116" t="n">
        <x:f>IF('Simulacao'!$A94&lt;='Premissas'!$B$11,'Simulacao'!$L94,NA())</x:f>
        <x:v>172150.2155449905</x:v>
      </x:c>
      <x:c r="L95" s="116" t="n">
        <x:f>IF('Simulacao'!$A94&lt;='Premissas'!$B$11,'Simulacao'!$H94,NA())</x:f>
        <x:v>1358.3350440078611</x:v>
      </x:c>
      <x:c r="N95" t="str">
        <x:f>J95</x:f>
        <x:v>Mar 2034</x:v>
      </x:c>
      <x:c r="O95" s="116" t="n">
        <x:f>L95</x:f>
        <x:v>1358.3350440078611</x:v>
      </x:c>
    </x:row>
    <x:row r="96">
      <x:c r="J96" t="str">
        <x:f>IF('Simulacao'!$A95&lt;='Premissas'!$B$11,TEXT('Simulacao'!$B95,"mmm yyyy"),"")</x:f>
        <x:v>Apr 2034</x:v>
      </x:c>
      <x:c r="K96" s="116" t="n">
        <x:f>IF('Simulacao'!$A95&lt;='Premissas'!$B$11,'Simulacao'!$L95,NA())</x:f>
        <x:v>174874.4721038891</x:v>
      </x:c>
      <x:c r="L96" s="116" t="n">
        <x:f>IF('Simulacao'!$A95&lt;='Premissas'!$B$11,'Simulacao'!$H95,NA())</x:f>
        <x:v>1379.9561278086437</x:v>
      </x:c>
      <x:c r="N96" t="str">
        <x:f>J96</x:f>
        <x:v>Apr 2034</x:v>
      </x:c>
      <x:c r="O96" s="116" t="n">
        <x:f>L96</x:f>
        <x:v>1379.9561278086437</x:v>
      </x:c>
    </x:row>
    <x:row r="97">
      <x:c r="J97" t="str">
        <x:f>IF('Simulacao'!$A96&lt;='Premissas'!$B$11,TEXT('Simulacao'!$B96,"mmm yyyy"),"")</x:f>
        <x:v>May 2034</x:v>
      </x:c>
      <x:c r="K97" s="116" t="n">
        <x:f>IF('Simulacao'!$A96&lt;='Premissas'!$B$11,'Simulacao'!$L96,NA())</x:f>
        <x:v>177626.01481648168</x:v>
      </x:c>
      <x:c r="L97" s="116" t="n">
        <x:f>IF('Simulacao'!$A96&lt;='Premissas'!$B$11,'Simulacao'!$H96,NA())</x:f>
        <x:v>1401.7937683847751</x:v>
      </x:c>
      <x:c r="N97" t="str">
        <x:f>J97</x:f>
        <x:v>May 2034</x:v>
      </x:c>
      <x:c r="O97" s="116" t="n">
        <x:f>L97</x:f>
        <x:v>1401.7937683847751</x:v>
      </x:c>
    </x:row>
    <x:row r="98">
      <x:c r="J98" t="str">
        <x:f>IF('Simulacao'!$A97&lt;='Premissas'!$B$11,TEXT('Simulacao'!$B97,"mmm yyyy"),"")</x:f>
        <x:v>Jun 2034</x:v>
      </x:c>
      <x:c r="K98" s="116" t="n">
        <x:f>IF('Simulacao'!$A97&lt;='Premissas'!$B$11,'Simulacao'!$L97,NA())</x:f>
        <x:v>180405.11698088353</x:v>
      </x:c>
      <x:c r="L98" s="116" t="n">
        <x:f>IF('Simulacao'!$A97&lt;='Premissas'!$B$11,'Simulacao'!$H97,NA())</x:f>
        <x:v>1423.850134768917</x:v>
      </x:c>
      <x:c r="N98" t="str">
        <x:f>J98</x:f>
        <x:v>Jun 2034</x:v>
      </x:c>
      <x:c r="O98" s="116" t="n">
        <x:f>L98</x:f>
        <x:v>1423.850134768917</x:v>
      </x:c>
    </x:row>
    <x:row r="99">
      <x:c r="J99" t="str">
        <x:f>IF('Simulacao'!$A98&lt;='Premissas'!$B$11,TEXT('Simulacao'!$B98,"mmm yyyy"),"")</x:f>
        <x:v>Jul 2034</x:v>
      </x:c>
      <x:c r="K99" s="116" t="n">
        <x:f>IF('Simulacao'!$A98&lt;='Premissas'!$B$11,'Simulacao'!$L98,NA())</x:f>
        <x:v>183212.0546325641</x:v>
      </x:c>
      <x:c r="L99" s="116" t="n">
        <x:f>IF('Simulacao'!$A98&lt;='Premissas'!$B$11,'Simulacao'!$H98,NA())</x:f>
        <x:v>1446.127417718763</x:v>
      </x:c>
      <x:c r="N99" t="str">
        <x:f>J99</x:f>
        <x:v>Jul 2034</x:v>
      </x:c>
      <x:c r="O99" s="116" t="n">
        <x:f>L99</x:f>
        <x:v>1446.127417718763</x:v>
      </x:c>
    </x:row>
    <x:row r="100">
      <x:c r="J100" t="str">
        <x:f>IF('Simulacao'!$A99&lt;='Premissas'!$B$11,TEXT('Simulacao'!$B99,"mmm yyyy"),"")</x:f>
        <x:v>Aug 2034</x:v>
      </x:c>
      <x:c r="K100" s="116" t="n">
        <x:f>IF('Simulacao'!$A99&lt;='Premissas'!$B$11,'Simulacao'!$L99,NA())</x:f>
        <x:v>186047.10657176387</x:v>
      </x:c>
      <x:c r="L100" s="116" t="n">
        <x:f>IF('Simulacao'!$A99&lt;='Premissas'!$B$11,'Simulacao'!$H99,NA())</x:f>
        <x:v>1468.6278299346338</x:v>
      </x:c>
      <x:c r="N100" t="str">
        <x:f>J100</x:f>
        <x:v>Aug 2034</x:v>
      </x:c>
      <x:c r="O100" s="116" t="n">
        <x:f>L100</x:f>
        <x:v>1468.6278299346338</x:v>
      </x:c>
    </x:row>
    <x:row r="101">
      <x:c r="J101" t="str">
        <x:f>IF('Simulacao'!$A100&lt;='Premissas'!$B$11,TEXT('Simulacao'!$B100,"mmm yyyy"),"")</x:f>
        <x:v>Sep 2034</x:v>
      </x:c>
      <x:c r="K101" s="116" t="n">
        <x:f>IF('Simulacao'!$A100&lt;='Premissas'!$B$11,'Simulacao'!$L100,NA())</x:f>
        <x:v>188910.55439118663</x:v>
      </x:c>
      <x:c r="L101" s="116" t="n">
        <x:f>IF('Simulacao'!$A100&lt;='Premissas'!$B$11,'Simulacao'!$H100,NA())</x:f>
        <x:v>1491.3536062792589</x:v>
      </x:c>
      <x:c r="N101" t="str">
        <x:f>J101</x:f>
        <x:v>Sep 2034</x:v>
      </x:c>
      <x:c r="O101" s="116" t="n">
        <x:f>L101</x:f>
        <x:v>1491.3536062792589</x:v>
      </x:c>
    </x:row>
    <x:row r="102">
      <x:c r="J102" t="str">
        <x:f>IF('Simulacao'!$A101&lt;='Premissas'!$B$11,TEXT('Simulacao'!$B101,"mmm yyyy"),"")</x:f>
        <x:v>Oct 2034</x:v>
      </x:c>
      <x:c r="K102" s="116" t="n">
        <x:f>IF('Simulacao'!$A101&lt;='Premissas'!$B$11,'Simulacao'!$L101,NA())</x:f>
        <x:v>191802.68250396877</x:v>
      </x:c>
      <x:c r="L102" s="116" t="n">
        <x:f>IF('Simulacao'!$A101&lt;='Premissas'!$B$11,'Simulacao'!$H101,NA())</x:f>
        <x:v>1514.307003999752</x:v>
      </x:c>
      <x:c r="N102" t="str">
        <x:f>J102</x:f>
        <x:v>Oct 2034</x:v>
      </x:c>
      <x:c r="O102" s="116" t="n">
        <x:f>L102</x:f>
        <x:v>1514.307003999752</x:v>
      </x:c>
    </x:row>
    <x:row r="103">
      <x:c r="J103" t="str">
        <x:f>IF('Simulacao'!$A102&lt;='Premissas'!$B$11,TEXT('Simulacao'!$B102,"mmm yyyy"),"")</x:f>
        <x:v>Nov 2034</x:v>
      </x:c>
      <x:c r="K103" s="116" t="n">
        <x:f>IF('Simulacao'!$A102&lt;='Premissas'!$B$11,'Simulacao'!$L102,NA())</x:f>
        <x:v>194723.77817192848</x:v>
      </x:c>
      <x:c r="L103" s="116" t="n">
        <x:f>IF('Simulacao'!$A102&lt;='Premissas'!$B$11,'Simulacao'!$H102,NA())</x:f>
        <x:v>1537.4903029518134</x:v>
      </x:c>
      <x:c r="N103" t="str">
        <x:f>J103</x:f>
        <x:v>Nov 2034</x:v>
      </x:c>
      <x:c r="O103" s="116" t="n">
        <x:f>L103</x:f>
        <x:v>1537.4903029518134</x:v>
      </x:c>
    </x:row>
    <x:row r="104">
      <x:c r="J104" t="str">
        <x:f>IF('Simulacao'!$A103&lt;='Premissas'!$B$11,TEXT('Simulacao'!$B103,"mmm yyyy"),"")</x:f>
        <x:v>Dec 2034</x:v>
      </x:c>
      <x:c r="K104" s="116" t="n">
        <x:f>IF('Simulacao'!$A103&lt;='Premissas'!$B$11,'Simulacao'!$L103,NA())</x:f>
        <x:v>197674.13153409853</x:v>
      </x:c>
      <x:c r="L104" s="116" t="n">
        <x:f>IF('Simulacao'!$A103&lt;='Premissas'!$B$11,'Simulacao'!$H103,NA())</x:f>
        <x:v>1560.905805826179</x:v>
      </x:c>
      <x:c r="N104" t="str">
        <x:f>J104</x:f>
        <x:v>Dec 2034</x:v>
      </x:c>
      <x:c r="O104" s="116" t="n">
        <x:f>L104</x:f>
        <x:v>1560.905805826179</x:v>
      </x:c>
    </x:row>
    <x:row r="105">
      <x:c r="J105" t="str">
        <x:f>IF('Simulacao'!$A104&lt;='Premissas'!$B$11,TEXT('Simulacao'!$B104,"mmm yyyy"),"")</x:f>
        <x:v>Jan 2035</x:v>
      </x:c>
      <x:c r="K105" s="116" t="n">
        <x:f>IF('Simulacao'!$A104&lt;='Premissas'!$B$11,'Simulacao'!$L104,NA())</x:f>
        <x:v>200654.03563554407</x:v>
      </x:c>
      <x:c r="L105" s="116" t="n">
        <x:f>IF('Simulacao'!$A104&lt;='Premissas'!$B$11,'Simulacao'!$H104,NA())</x:f>
        <x:v>1584.5558383773339</x:v>
      </x:c>
      <x:c r="N105" t="str">
        <x:f>J105</x:f>
        <x:v>Jan 2035</x:v>
      </x:c>
      <x:c r="O105" s="116" t="n">
        <x:f>L105</x:f>
        <x:v>1584.5558383773339</x:v>
      </x:c>
    </x:row>
    <x:row r="106">
      <x:c r="J106" t="str">
        <x:f>IF('Simulacao'!$A105&lt;='Premissas'!$B$11,TEXT('Simulacao'!$B105,"mmm yyyy"),"")</x:f>
        <x:v>Feb 2035</x:v>
      </x:c>
      <x:c r="K106" s="116" t="n">
        <x:f>IF('Simulacao'!$A105&lt;='Premissas'!$B$11,'Simulacao'!$L105,NA())</x:f>
        <x:v>203663.78645646965</x:v>
      </x:c>
      <x:c r="L106" s="116" t="n">
        <x:f>IF('Simulacao'!$A105&lt;='Premissas'!$B$11,'Simulacao'!$H105,NA())</x:f>
        <x:v>1608.442749654521</x:v>
      </x:c>
      <x:c r="N106" t="str">
        <x:f>J106</x:f>
        <x:v>Feb 2035</x:v>
      </x:c>
      <x:c r="O106" s="116" t="n">
        <x:f>L106</x:f>
        <x:v>1608.442749654521</x:v>
      </x:c>
    </x:row>
    <x:row r="107">
      <x:c r="J107" t="str">
        <x:f>IF('Simulacao'!$A106&lt;='Premissas'!$B$11,TEXT('Simulacao'!$B106,"mmm yyyy"),"")</x:f>
        <x:v>Mar 2035</x:v>
      </x:c>
      <x:c r="K107" s="116" t="n">
        <x:f>IF('Simulacao'!$A106&lt;='Premissas'!$B$11,'Simulacao'!$L106,NA())</x:f>
        <x:v>206703.68294161768</x:v>
      </x:c>
      <x:c r="L107" s="116" t="n">
        <x:f>IF('Simulacao'!$A106&lt;='Premissas'!$B$11,'Simulacao'!$H106,NA())</x:f>
        <x:v>1632.568912235061</x:v>
      </x:c>
      <x:c r="N107" t="str">
        <x:f>J107</x:f>
        <x:v>Mar 2035</x:v>
      </x:c>
      <x:c r="O107" s="116" t="n">
        <x:f>L107</x:f>
        <x:v>1632.568912235061</x:v>
      </x:c>
    </x:row>
    <x:row r="108">
      <x:c r="J108" t="str">
        <x:f>IF('Simulacao'!$A107&lt;='Premissas'!$B$11,TEXT('Simulacao'!$B107,"mmm yyyy"),"")</x:f>
        <x:v>Apr 2035</x:v>
      </x:c>
      <x:c r="K108" s="116" t="n">
        <x:f>IF('Simulacao'!$A107&lt;='Premissas'!$B$11,'Simulacao'!$L107,NA())</x:f>
        <x:v>209774.02702996094</x:v>
      </x:c>
      <x:c r="L108" s="116" t="n">
        <x:f>IF('Simulacao'!$A107&lt;='Premissas'!$B$11,'Simulacao'!$H107,NA())</x:f>
        <x:v>1656.9367224600076</x:v>
      </x:c>
      <x:c r="N108" t="str">
        <x:f>J108</x:f>
        <x:v>Apr 2035</x:v>
      </x:c>
      <x:c r="O108" s="116" t="n">
        <x:f>L108</x:f>
        <x:v>1656.9367224600076</x:v>
      </x:c>
    </x:row>
    <x:row r="109">
      <x:c r="J109" t="str">
        <x:f>IF('Simulacao'!$A108&lt;='Premissas'!$B$11,TEXT('Simulacao'!$B108,"mmm yyyy"),"")</x:f>
        <x:v>May 2035</x:v>
      </x:c>
      <x:c r="K109" s="116" t="n">
        <x:f>IF('Simulacao'!$A108&lt;='Premissas'!$B$11,'Simulacao'!$L108,NA())</x:f>
        <x:v>212875.12368469304</x:v>
      </x:c>
      <x:c r="L109" s="116" t="n">
        <x:f>IF('Simulacao'!$A108&lt;='Premissas'!$B$11,'Simulacao'!$H108,NA())</x:f>
        <x:v>1681.5486006721671</x:v>
      </x:c>
      <x:c r="N109" t="str">
        <x:f>J109</x:f>
        <x:v>May 2035</x:v>
      </x:c>
      <x:c r="O109" s="116" t="n">
        <x:f>L109</x:f>
        <x:v>1681.5486006721671</x:v>
      </x:c>
    </x:row>
    <x:row r="110">
      <x:c r="J110" t="str">
        <x:f>IF('Simulacao'!$A109&lt;='Premissas'!$B$11,TEXT('Simulacao'!$B109,"mmm yyyy"),"")</x:f>
        <x:v>Jun 2035</x:v>
      </x:c>
      <x:c r="K110" s="116" t="n">
        <x:f>IF('Simulacao'!$A109&lt;='Premissas'!$B$11,'Simulacao'!$L109,NA())</x:f>
        <x:v>216007.28092351893</x:v>
      </x:c>
      <x:c r="L110" s="116" t="n">
        <x:f>IF('Simulacao'!$A109&lt;='Premissas'!$B$11,'Simulacao'!$H109,NA())</x:f>
        <x:v>1706.4069914564993</x:v>
      </x:c>
      <x:c r="N110" t="str">
        <x:f>J110</x:f>
        <x:v>Jun 2035</x:v>
      </x:c>
      <x:c r="O110" s="116" t="n">
        <x:f>L110</x:f>
        <x:v>1706.4069914564993</x:v>
      </x:c>
    </x:row>
    <x:row r="111">
      <x:c r="J111" t="str">
        <x:f>IF('Simulacao'!$A110&lt;='Premissas'!$B$11,TEXT('Simulacao'!$B110,"mmm yyyy"),"")</x:f>
        <x:v>Jul 2035</x:v>
      </x:c>
      <x:c r="K111" s="116" t="n">
        <x:f>IF('Simulacao'!$A110&lt;='Premissas'!$B$11,'Simulacao'!$L110,NA())</x:f>
        <x:v>219170.80984924888</x:v>
      </x:c>
      <x:c r="L111" s="116" t="n">
        <x:f>IF('Simulacao'!$A110&lt;='Premissas'!$B$11,'Simulacao'!$H110,NA())</x:f>
        <x:v>1731.5143638829275</x:v>
      </x:c>
      <x:c r="N111" t="str">
        <x:f>J111</x:f>
        <x:v>Jul 2035</x:v>
      </x:c>
      <x:c r="O111" s="116" t="n">
        <x:f>L111</x:f>
        <x:v>1731.5143638829275</x:v>
      </x:c>
    </x:row>
    <x:row r="112">
      <x:c r="J112" t="str">
        <x:f>IF('Simulacao'!$A111&lt;='Premissas'!$B$11,TEXT('Simulacao'!$B111,"mmm yyyy"),"")</x:f>
        <x:v>Aug 2035</x:v>
      </x:c>
      <x:c r="K112" s="116" t="n">
        <x:f>IF('Simulacao'!$A111&lt;='Premissas'!$B$11,'Simulacao'!$L111,NA())</x:f>
        <x:v>222366.024680699</x:v>
      </x:c>
      <x:c r="L112" s="116" t="n">
        <x:f>IF('Simulacao'!$A111&lt;='Premissas'!$B$11,'Simulacao'!$H111,NA())</x:f>
        <x:v>1756.8732117515792</x:v>
      </x:c>
      <x:c r="N112" t="str">
        <x:f>J112</x:f>
        <x:v>Aug 2035</x:v>
      </x:c>
      <x:c r="O112" s="116" t="n">
        <x:f>L112</x:f>
        <x:v>1756.8732117515792</x:v>
      </x:c>
    </x:row>
    <x:row r="113">
      <x:c r="J113" t="str">
        <x:f>IF('Simulacao'!$A112&lt;='Premissas'!$B$11,TEXT('Simulacao'!$B112,"mmm yyyy"),"")</x:f>
        <x:v>Sep 2035</x:v>
      </x:c>
      <x:c r="K113" s="116" t="n">
        <x:f>IF('Simulacao'!$A112&lt;='Premissas'!$B$11,'Simulacao'!$L112,NA())</x:f>
        <x:v>225593.24278390085</x:v>
      </x:c>
      <x:c r="L113" s="116" t="n">
        <x:f>IF('Simulacao'!$A112&lt;='Premissas'!$B$11,'Simulacao'!$H112,NA())</x:f>
        <x:v>1782.4860538404828</x:v>
      </x:c>
      <x:c r="N113" t="str">
        <x:f>J113</x:f>
        <x:v>Sep 2035</x:v>
      </x:c>
      <x:c r="O113" s="116" t="n">
        <x:f>L113</x:f>
        <x:v>1782.4860538404828</x:v>
      </x:c>
    </x:row>
    <x:row r="114">
      <x:c r="J114" t="str">
        <x:f>IF('Simulacao'!$A113&lt;='Premissas'!$B$11,TEXT('Simulacao'!$B113,"mmm yyyy"),"")</x:f>
        <x:v>Oct 2035</x:v>
      </x:c>
      <x:c r="K114" s="116" t="n">
        <x:f>IF('Simulacao'!$A113&lt;='Premissas'!$B$11,'Simulacao'!$L113,NA())</x:f>
        <x:v>228852.78470362443</x:v>
      </x:c>
      <x:c r="L114" s="116" t="n">
        <x:f>IF('Simulacao'!$A113&lt;='Premissas'!$B$11,'Simulacao'!$H113,NA())</x:f>
        <x:v>1808.3554341557494</x:v>
      </x:c>
      <x:c r="N114" t="str">
        <x:f>J114</x:f>
        <x:v>Oct 2035</x:v>
      </x:c>
      <x:c r="O114" s="116" t="n">
        <x:f>L114</x:f>
        <x:v>1808.3554341557494</x:v>
      </x:c>
    </x:row>
    <x:row r="115">
      <x:c r="J115" t="str">
        <x:f>IF('Simulacao'!$A114&lt;='Premissas'!$B$11,TEXT('Simulacao'!$B114,"mmm yyyy"),"")</x:f>
        <x:v>Nov 2035</x:v>
      </x:c>
      <x:c r="K115" s="116" t="n">
        <x:f>IF('Simulacao'!$A114&lt;='Premissas'!$B$11,'Simulacao'!$L114,NA())</x:f>
        <x:v>232144.97419521594</x:v>
      </x:c>
      <x:c r="L115" s="116" t="n">
        <x:f>IF('Simulacao'!$A114&lt;='Premissas'!$B$11,'Simulacao'!$H114,NA())</x:f>
        <x:v>1834.4839221842533</x:v>
      </x:c>
      <x:c r="N115" t="str">
        <x:f>J115</x:f>
        <x:v>Nov 2035</x:v>
      </x:c>
      <x:c r="O115" s="116" t="n">
        <x:f>L115</x:f>
        <x:v>1834.4839221842533</x:v>
      </x:c>
    </x:row>
    <x:row r="116">
      <x:c r="J116" t="str">
        <x:f>IF('Simulacao'!$A115&lt;='Premissas'!$B$11,TEXT('Simulacao'!$B115,"mmm yyyy"),"")</x:f>
        <x:v>Dec 2035</x:v>
      </x:c>
      <x:c r="K116" s="116" t="n">
        <x:f>IF('Simulacao'!$A115&lt;='Premissas'!$B$11,'Simulacao'!$L115,NA())</x:f>
        <x:v>235470.13825675525</x:v>
      </x:c>
      <x:c r="L116" s="116" t="n">
        <x:f>IF('Simulacao'!$A115&lt;='Premissas'!$B$11,'Simulacao'!$H115,NA())</x:f>
        <x:v>1860.8741131488512</x:v>
      </x:c>
      <x:c r="N116" t="str">
        <x:f>J116</x:f>
        <x:v>Dec 2035</x:v>
      </x:c>
      <x:c r="O116" s="116" t="n">
        <x:f>L116</x:f>
        <x:v>1860.8741131488512</x:v>
      </x:c>
    </x:row>
    <x:row r="117">
      <x:c r="J117" t="str">
        <x:f>IF('Simulacao'!$A116&lt;='Premissas'!$B$11,TEXT('Simulacao'!$B116,"mmm yyyy"),"")</x:f>
        <x:v>Jan 2036</x:v>
      </x:c>
      <x:c r="K117" s="116" t="n">
        <x:f>IF('Simulacao'!$A116&lt;='Premissas'!$B$11,'Simulacao'!$L116,NA())</x:f>
        <x:v>238828.6071615349</x:v>
      </x:c>
      <x:c r="L117" s="116" t="n">
        <x:f>IF('Simulacao'!$A116&lt;='Premissas'!$B$11,'Simulacao'!$H116,NA())</x:f>
        <x:v>1887.5286282661502</x:v>
      </x:c>
      <x:c r="N117" t="str">
        <x:f>J117</x:f>
        <x:v>Jan 2036</x:v>
      </x:c>
      <x:c r="O117" s="116" t="n">
        <x:f>L117</x:f>
        <x:v>1887.5286282661502</x:v>
      </x:c>
    </x:row>
    <x:row r="118">
      <x:c r="J118" t="str">
        <x:f>IF('Simulacao'!$A117&lt;='Premissas'!$B$11,TEXT('Simulacao'!$B117,"mmm yyyy"),"")</x:f>
        <x:v>Feb 2036</x:v>
      </x:c>
      <x:c r="K118" s="116" t="n">
        <x:f>IF('Simulacao'!$A117&lt;='Premissas'!$B$11,'Simulacao'!$L117,NA())</x:f>
        <x:v>242220.71449086486</x:v>
      </x:c>
      <x:c r="L118" s="116" t="n">
        <x:f>IF('Simulacao'!$A117&lt;='Premissas'!$B$11,'Simulacao'!$H117,NA())</x:f>
        <x:v>1914.4501150068638</x:v>
      </x:c>
      <x:c r="N118" t="str">
        <x:f>J118</x:f>
        <x:v>Feb 2036</x:v>
      </x:c>
      <x:c r="O118" s="116" t="n">
        <x:f>L118</x:f>
        <x:v>1914.4501150068638</x:v>
      </x:c>
    </x:row>
    <x:row r="119">
      <x:c r="J119" t="str">
        <x:f>IF('Simulacao'!$A118&lt;='Premissas'!$B$11,TEXT('Simulacao'!$B118,"mmm yyyy"),"")</x:f>
        <x:v>Mar 2036</x:v>
      </x:c>
      <x:c r="K119" s="116" t="n">
        <x:f>IF('Simulacao'!$A118&lt;='Premissas'!$B$11,'Simulacao'!$L118,NA())</x:f>
        <x:v>245646.79716720537</x:v>
      </x:c>
      <x:c r="L119" s="116" t="n">
        <x:f>IF('Simulacao'!$A118&lt;='Premissas'!$B$11,'Simulacao'!$H118,NA())</x:f>
        <x:v>1941.6412473587727</x:v>
      </x:c>
      <x:c r="N119" t="str">
        <x:f>J119</x:f>
        <x:v>Mar 2036</x:v>
      </x:c>
      <x:c r="O119" s="116" t="n">
        <x:f>L119</x:f>
        <x:v>1941.6412473587727</x:v>
      </x:c>
    </x:row>
    <x:row r="120">
      <x:c r="J120" t="str">
        <x:f>IF('Simulacao'!$A119&lt;='Premissas'!$B$11,TEXT('Simulacao'!$B119,"mmm yyyy"),"")</x:f>
        <x:v>Apr 2036</x:v>
      </x:c>
      <x:c r="K120" s="116" t="n">
        <x:f>IF('Simulacao'!$A119&lt;='Premissas'!$B$11,'Simulacao'!$L119,NA())</x:f>
        <x:v>249107.19548763204</x:v>
      </x:c>
      <x:c r="L120" s="116" t="n">
        <x:f>IF('Simulacao'!$A119&lt;='Premissas'!$B$11,'Simulacao'!$H119,NA())</x:f>
        <x:v>1969.1047260923178</x:v>
      </x:c>
      <x:c r="N120" t="str">
        <x:f>J120</x:f>
        <x:v>Apr 2036</x:v>
      </x:c>
      <x:c r="O120" s="116" t="n">
        <x:f>L120</x:f>
        <x:v>1969.1047260923178</x:v>
      </x:c>
    </x:row>
    <x:row r="121">
      <x:c r="J121" t="str">
        <x:f>IF('Simulacao'!$A120&lt;='Premissas'!$B$11,TEXT('Simulacao'!$B120,"mmm yyyy"),"")</x:f>
        <x:v>May 2036</x:v>
      </x:c>
      <x:c r="K121" s="116" t="n">
        <x:f>IF('Simulacao'!$A120&lt;='Premissas'!$B$11,'Simulacao'!$L120,NA())</x:f>
        <x:v>252602.2531576362</x:v>
      </x:c>
      <x:c r="L121" s="116" t="n">
        <x:f>IF('Simulacao'!$A120&lt;='Premissas'!$B$11,'Simulacao'!$H120,NA())</x:f>
        <x:v>1996.843279028859</x:v>
      </x:c>
      <x:c r="N121" t="str">
        <x:f>J121</x:f>
        <x:v>May 2036</x:v>
      </x:c>
      <x:c r="O121" s="116" t="n">
        <x:f>L121</x:f>
        <x:v>1996.843279028859</x:v>
      </x:c>
    </x:row>
    <x:row r="122">
      <x:c r="J122" t="str">
        <x:f>IF('Simulacao'!$A121&lt;='Premissas'!$B$11,TEXT('Simulacao'!$B121,"mmm yyyy"),"")</x:f>
        <x:v>Jun 2036</x:v>
      </x:c>
      <x:c r="K122" s="116" t="n">
        <x:f>IF('Simulacao'!$A121&lt;='Premissas'!$B$11,'Simulacao'!$L121,NA())</x:f>
        <x:v>256132.31732526305</x:v>
      </x:c>
      <x:c r="L122" s="116" t="n">
        <x:f>IF('Simulacao'!$A121&lt;='Premissas'!$B$11,'Simulacao'!$H121,NA())</x:f>
        <x:v>2024.8596613116115</x:v>
      </x:c>
      <x:c r="N122" t="str">
        <x:f>J122</x:f>
        <x:v>Jun 2036</x:v>
      </x:c>
      <x:c r="O122" s="116" t="n">
        <x:f>L122</x:f>
        <x:v>2024.8596613116115</x:v>
      </x:c>
    </x:row>
    <x:row r="123">
      <x:c r="J123" t="str">
        <x:f>IF('Simulacao'!$A122&lt;='Premissas'!$B$11,TEXT('Simulacao'!$B122,"mmm yyyy"),"")</x:f>
        <x:v>Jul 2036</x:v>
      </x:c>
      <x:c r="K123" s="116" t="n">
        <x:f>IF('Simulacao'!$A122&lt;='Premissas'!$B$11,'Simulacao'!$L122,NA())</x:f>
        <x:v>259697.73861559297</x:v>
      </x:c>
      <x:c r="L123" s="116" t="n">
        <x:f>IF('Simulacao'!$A122&lt;='Premissas'!$B$11,'Simulacao'!$H122,NA())</x:f>
        <x:v>2053.156655679309</x:v>
      </x:c>
      <x:c r="N123" t="str">
        <x:f>J123</x:f>
        <x:v>Jul 2036</x:v>
      </x:c>
      <x:c r="O123" s="116" t="n">
        <x:f>L123</x:f>
        <x:v>2053.156655679309</x:v>
      </x:c>
    </x:row>
    <x:row r="124">
      <x:c r="J124" t="str">
        <x:f>IF('Simulacao'!$A123&lt;='Premissas'!$B$11,TEXT('Simulacao'!$B123,"mmm yyyy"),"")</x:f>
        <x:v>Aug 2036</x:v>
      </x:c>
      <x:c r="K124" s="116" t="n">
        <x:f>IF('Simulacao'!$A123&lt;='Premissas'!$B$11,'Simulacao'!$L123,NA())</x:f>
        <x:v>263298.8711655667</x:v>
      </x:c>
      <x:c r="L124" s="116" t="n">
        <x:f>IF('Simulacao'!$A123&lt;='Premissas'!$B$11,'Simulacao'!$H123,NA())</x:f>
        <x:v>2081.737072742593</x:v>
      </x:c>
      <x:c r="N124" t="str">
        <x:f>J124</x:f>
        <x:v>Aug 2036</x:v>
      </x:c>
      <x:c r="O124" s="116" t="n">
        <x:f>L124</x:f>
        <x:v>2081.737072742593</x:v>
      </x:c>
    </x:row>
  </x:sheetData>
  <x:mergeCells>
    <x:mergeCell ref="A1:H1"/>
    <x:mergeCell ref="A2:H2"/>
    <x:mergeCell ref="A8:H8"/>
  </x:mergeCells>
  <x:conditionalFormatting sqref="H5:H5">
    <x:cfRule type="containsText" dxfId="6" priority="1" operator="containsText" text="OK"/>
    <x:cfRule type="containsText" dxfId="7" priority="2" operator="containsText" text="Revisar"/>
  </x:conditionalFormatting>
  <x:pageMargins left="0.7" right="0.7" top="0.75" bottom="0.75" header="0.3" footer="0.3"/>
  <x:drawing xmlns:r="http://schemas.openxmlformats.org/officeDocument/2006/relationships" r:id="R6e416e5cf8174b0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2" hidden="0" customWidth="1"/>
    <x:col min="4" max="4" width="42" hidden="0" customWidth="1"/>
    <x:col min="6" max="6" width="12" hidden="0" customWidth="1"/>
    <x:col min="7" max="7" width="20" hidden="0" customWidth="1"/>
    <x:col min="8" max="8" width="34" hidden="0" customWidth="1"/>
  </x:cols>
  <x:sheetData>
    <x:row r="1" ht="34" customHeight="1">
      <x:c r="A1" s="4" t="str">
        <x:v>Simulador de Investimentos em Fundos Imobiliarios</x:v>
      </x:c>
      <x:c r="B1" s="4" t="str">
        <x:v>Simulador de Investimentos em Fundos Imobiliarios</x:v>
      </x:c>
      <x:c r="C1" s="4" t="str">
        <x:v>Simulador de Investimentos em Fundos Imobiliarios</x:v>
      </x:c>
      <x:c r="D1" s="4" t="str">
        <x:v>Simulador de Investimentos em Fundos Imobiliarios</x:v>
      </x:c>
      <x:c r="E1" s="4" t="str">
        <x:v>Simulador de Investimentos em Fundos Imobiliarios</x:v>
      </x:c>
      <x:c r="F1" s="4" t="str">
        <x:v>Simulador de Investimentos em Fundos Imobiliarios</x:v>
      </x:c>
      <x:c r="G1" s="4" t="str">
        <x:v>Simulador de Investimentos em Fundos Imobiliarios</x:v>
      </x:c>
      <x:c r="H1" s="4" t="str">
        <x:v>Simulador de Investimentos em Fundos Imobiliarios</x:v>
      </x:c>
    </x:row>
    <x:row r="2">
      <x:c r="A2" s="7" t="str">
        <x:v>Edite apenas as celulas amarelas. Os demais resultados sao calculados automaticamente.</x:v>
      </x:c>
      <x:c r="B2" s="7" t="str">
        <x:v>Edite apenas as celulas amarelas. Os demais resultados sao calculados automaticamente.</x:v>
      </x:c>
      <x:c r="C2" s="7" t="str">
        <x:v>Edite apenas as celulas amarelas. Os demais resultados sao calculados automaticamente.</x:v>
      </x:c>
      <x:c r="D2" s="7" t="str">
        <x:v>Edite apenas as celulas amarelas. Os demais resultados sao calculados automaticamente.</x:v>
      </x:c>
      <x:c r="E2" s="7" t="str">
        <x:v>Edite apenas as celulas amarelas. Os demais resultados sao calculados automaticamente.</x:v>
      </x:c>
      <x:c r="F2" s="7" t="str">
        <x:v>Edite apenas as celulas amarelas. Os demais resultados sao calculados automaticamente.</x:v>
      </x:c>
      <x:c r="G2" s="7" t="str">
        <x:v>Edite apenas as celulas amarelas. Os demais resultados sao calculados automaticamente.</x:v>
      </x:c>
      <x:c r="H2" s="7" t="str">
        <x:v>Edite apenas as celulas amarelas. Os demais resultados sao calculados automaticamente.</x:v>
      </x:c>
    </x:row>
    <x:row r="4">
      <x:c r="A4" s="11" t="str">
        <x:v>Entradas do usuario</x:v>
      </x:c>
      <x:c r="B4" s="11" t="str">
        <x:v>Entradas do usuario</x:v>
      </x:c>
      <x:c r="C4" s="11" t="str">
        <x:v>Entradas do usuario</x:v>
      </x:c>
      <x:c r="D4" s="11" t="str">
        <x:v>Entradas do usuario</x:v>
      </x:c>
      <x:c r="F4" s="11" t="str">
        <x:v>Legenda</x:v>
      </x:c>
      <x:c r="G4" s="11" t="str">
        <x:v>Legenda</x:v>
      </x:c>
      <x:c r="H4" s="11" t="str">
        <x:v>Legenda</x:v>
      </x:c>
    </x:row>
    <x:row r="5">
      <x:c r="A5" s="19" t="str">
        <x:v>Premissa</x:v>
      </x:c>
      <x:c r="B5" s="20" t="str">
        <x:v>Valor</x:v>
      </x:c>
      <x:c r="C5" s="20" t="str">
        <x:v>Unidade</x:v>
      </x:c>
      <x:c r="D5" s="21" t="str">
        <x:v>Observacao</x:v>
      </x:c>
      <x:c r="F5" s="19" t="str">
        <x:v>Cor</x:v>
      </x:c>
      <x:c r="G5" s="20" t="str">
        <x:v>Uso</x:v>
      </x:c>
      <x:c r="H5" s="21" t="str">
        <x:v>Descricao</x:v>
      </x:c>
    </x:row>
    <x:row r="6">
      <x:c r="A6" s="28" t="str">
        <x:v>Valor inicial investido</x:v>
      </x:c>
      <x:c r="B6" s="40" t="n">
        <x:v>10000</x:v>
      </x:c>
      <x:c r="C6" s="23" t="str">
        <x:v>R$</x:v>
      </x:c>
      <x:c r="D6" s="38" t="str">
        <x:v>Capital aplicado no inicio da simulacao.</x:v>
      </x:c>
      <x:c r="F6" s="50" t="str"/>
      <x:c r="G6" s="23" t="str">
        <x:v>Entrada editavel</x:v>
      </x:c>
      <x:c r="H6" s="24" t="str">
        <x:v>Altere estas celulas para testar cenarios.</x:v>
      </x:c>
    </x:row>
    <x:row r="7">
      <x:c r="A7" s="28" t="str">
        <x:v>Aporte mensal</x:v>
      </x:c>
      <x:c r="B7" s="40" t="n">
        <x:v>1000</x:v>
      </x:c>
      <x:c r="C7" s="23" t="str">
        <x:v>R$/mes</x:v>
      </x:c>
      <x:c r="D7" s="38" t="str">
        <x:v>Valor aportado a cada mes.</x:v>
      </x:c>
      <x:c r="F7" s="51" t="str"/>
      <x:c r="G7" s="23" t="str">
        <x:v>Formula/calculo</x:v>
      </x:c>
      <x:c r="H7" s="24" t="str">
        <x:v>Valores derivados automaticamente.</x:v>
      </x:c>
    </x:row>
    <x:row r="8">
      <x:c r="A8" s="28" t="str">
        <x:v>Preco medio por cota</x:v>
      </x:c>
      <x:c r="B8" s="40" t="n">
        <x:v>100</x:v>
      </x:c>
      <x:c r="C8" s="23" t="str">
        <x:v>R$/cota</x:v>
      </x:c>
      <x:c r="D8" s="38" t="str">
        <x:v>Preco inicial estimado da cota.</x:v>
      </x:c>
      <x:c r="F8" s="52" t="str"/>
      <x:c r="G8" s="26" t="str">
        <x:v>Checagem OK</x:v>
      </x:c>
      <x:c r="H8" s="27" t="str">
        <x:v>Validacao simples sem alertas.</x:v>
      </x:c>
    </x:row>
    <x:row r="9">
      <x:c r="A9" s="28" t="str">
        <x:v>Dividend yield mensal estimado</x:v>
      </x:c>
      <x:c r="B9" s="41" t="n">
        <x:v>0.008</x:v>
      </x:c>
      <x:c r="C9" s="23" t="str">
        <x:v>% a.m.</x:v>
      </x:c>
      <x:c r="D9" s="38" t="str">
        <x:v>Rendimento mensal sobre o patrimonio do mes.</x:v>
      </x:c>
    </x:row>
    <x:row r="10">
      <x:c r="A10" s="28" t="str">
        <x:v>Valorizacao mensal da cota</x:v>
      </x:c>
      <x:c r="B10" s="41" t="n">
        <x:v>0.002</x:v>
      </x:c>
      <x:c r="C10" s="23" t="str">
        <x:v>% a.m.</x:v>
      </x:c>
      <x:c r="D10" s="38" t="str">
        <x:v>Crescimento estimado do preco da cota.</x:v>
      </x:c>
    </x:row>
    <x:row r="11">
      <x:c r="A11" s="28" t="str">
        <x:v>Horizonte da simulacao</x:v>
      </x:c>
      <x:c r="B11" s="42" t="n">
        <x:v>120</x:v>
      </x:c>
      <x:c r="C11" s="23" t="str">
        <x:v>meses</x:v>
      </x:c>
      <x:c r="D11" s="38" t="str">
        <x:v>Limite operacional desta versao: 1 a 120 meses.</x:v>
      </x:c>
    </x:row>
    <x:row r="12">
      <x:c r="A12" s="28" t="str">
        <x:v>Reinvestir dividendos?</x:v>
      </x:c>
      <x:c r="B12" s="34" t="str">
        <x:v>Sim</x:v>
      </x:c>
      <x:c r="C12" s="23" t="str">
        <x:v>Sim/Nao</x:v>
      </x:c>
      <x:c r="D12" s="38" t="str">
        <x:v>Se Sim, dividendos compram novas cotas.</x:v>
      </x:c>
    </x:row>
    <x:row r="13">
      <x:c r="A13" s="28" t="str">
        <x:v>Mes inicial</x:v>
      </x:c>
      <x:c r="B13" s="43" t="n">
        <x:v>46266</x:v>
      </x:c>
      <x:c r="C13" s="23" t="str">
        <x:v>data</x:v>
      </x:c>
      <x:c r="D13" s="38" t="str">
        <x:v>Data usada para rotular os periodos mensais.</x:v>
      </x:c>
    </x:row>
    <x:row r="14">
      <x:c r="A14" s="29" t="str">
        <x:v>Custos/taxas mensais</x:v>
      </x:c>
      <x:c r="B14" s="44" t="n">
        <x:v>0</x:v>
      </x:c>
      <x:c r="C14" s="26" t="str">
        <x:v>% a.m.</x:v>
      </x:c>
      <x:c r="D14" s="39" t="str">
        <x:v>Opcional: custos como % do patrimonio do mes.</x:v>
      </x:c>
    </x:row>
    <x:row r="17">
      <x:c r="A17" s="11" t="str">
        <x:v>Aviso</x:v>
      </x:c>
      <x:c r="B17" s="11" t="str">
        <x:v>Aviso</x:v>
      </x:c>
      <x:c r="C17" s="11" t="str">
        <x:v>Aviso</x:v>
      </x:c>
      <x:c r="D17" s="11" t="str">
        <x:v>Aviso</x:v>
      </x:c>
      <x:c r="E17" s="11" t="str">
        <x:v>Aviso</x:v>
      </x:c>
      <x:c r="F17" s="11" t="str">
        <x:v>Aviso</x:v>
      </x:c>
      <x:c r="G17" s="11" t="str">
        <x:v>Aviso</x:v>
      </x:c>
      <x:c r="H17" s="11" t="str">
        <x:v>Aviso</x:v>
      </x:c>
    </x:row>
    <x:row r="18">
      <x:c r="A18" s="56" t="str">
        <x:v>Modelo educativo baseado em premissas informadas pelo usuario. Os resultados sao simulacoes e nao constituem recomendacao de investimento.</x:v>
      </x:c>
      <x:c r="B18" s="57" t="str">
        <x:v>Modelo educativo baseado em premissas informadas pelo usuario. Os resultados sao simulacoes e nao constituem recomendacao de investimento.</x:v>
      </x:c>
      <x:c r="C18" s="57" t="str">
        <x:v>Modelo educativo baseado em premissas informadas pelo usuario. Os resultados sao simulacoes e nao constituem recomendacao de investimento.</x:v>
      </x:c>
      <x:c r="D18" s="57" t="str">
        <x:v>Modelo educativo baseado em premissas informadas pelo usuario. Os resultados sao simulacoes e nao constituem recomendacao de investimento.</x:v>
      </x:c>
      <x:c r="E18" s="57" t="str">
        <x:v>Modelo educativo baseado em premissas informadas pelo usuario. Os resultados sao simulacoes e nao constituem recomendacao de investimento.</x:v>
      </x:c>
      <x:c r="F18" s="57" t="str">
        <x:v>Modelo educativo baseado em premissas informadas pelo usuario. Os resultados sao simulacoes e nao constituem recomendacao de investimento.</x:v>
      </x:c>
      <x:c r="G18" s="57" t="str">
        <x:v>Modelo educativo baseado em premissas informadas pelo usuario. Os resultados sao simulacoes e nao constituem recomendacao de investimento.</x:v>
      </x:c>
      <x:c r="H18" s="58" t="str">
        <x:v>Modelo educativo baseado em premissas informadas pelo usuario. Os resultados sao simulacoes e nao constituem recomendacao de investimento.</x:v>
      </x:c>
    </x:row>
    <x:row r="19">
      <x:c r="A19" s="59" t="str">
        <x:v>Modelo educativo baseado em premissas informadas pelo usuario. Os resultados sao simulacoes e nao constituem recomendacao de investimento.</x:v>
      </x:c>
      <x:c r="B19" s="55" t="str">
        <x:v>Modelo educativo baseado em premissas informadas pelo usuario. Os resultados sao simulacoes e nao constituem recomendacao de investimento.</x:v>
      </x:c>
      <x:c r="C19" s="55" t="str">
        <x:v>Modelo educativo baseado em premissas informadas pelo usuario. Os resultados sao simulacoes e nao constituem recomendacao de investimento.</x:v>
      </x:c>
      <x:c r="D19" s="55" t="str">
        <x:v>Modelo educativo baseado em premissas informadas pelo usuario. Os resultados sao simulacoes e nao constituem recomendacao de investimento.</x:v>
      </x:c>
      <x:c r="E19" s="55" t="str">
        <x:v>Modelo educativo baseado em premissas informadas pelo usuario. Os resultados sao simulacoes e nao constituem recomendacao de investimento.</x:v>
      </x:c>
      <x:c r="F19" s="55" t="str">
        <x:v>Modelo educativo baseado em premissas informadas pelo usuario. Os resultados sao simulacoes e nao constituem recomendacao de investimento.</x:v>
      </x:c>
      <x:c r="G19" s="55" t="str">
        <x:v>Modelo educativo baseado em premissas informadas pelo usuario. Os resultados sao simulacoes e nao constituem recomendacao de investimento.</x:v>
      </x:c>
      <x:c r="H19" s="60" t="str">
        <x:v>Modelo educativo baseado em premissas informadas pelo usuario. Os resultados sao simulacoes e nao constituem recomendacao de investimento.</x:v>
      </x:c>
    </x:row>
    <x:row r="20">
      <x:c r="A20" s="61" t="str">
        <x:v>Modelo educativo baseado em premissas informadas pelo usuario. Os resultados sao simulacoes e nao constituem recomendacao de investimento.</x:v>
      </x:c>
      <x:c r="B20" s="62" t="str">
        <x:v>Modelo educativo baseado em premissas informadas pelo usuario. Os resultados sao simulacoes e nao constituem recomendacao de investimento.</x:v>
      </x:c>
      <x:c r="C20" s="62" t="str">
        <x:v>Modelo educativo baseado em premissas informadas pelo usuario. Os resultados sao simulacoes e nao constituem recomendacao de investimento.</x:v>
      </x:c>
      <x:c r="D20" s="62" t="str">
        <x:v>Modelo educativo baseado em premissas informadas pelo usuario. Os resultados sao simulacoes e nao constituem recomendacao de investimento.</x:v>
      </x:c>
      <x:c r="E20" s="62" t="str">
        <x:v>Modelo educativo baseado em premissas informadas pelo usuario. Os resultados sao simulacoes e nao constituem recomendacao de investimento.</x:v>
      </x:c>
      <x:c r="F20" s="62" t="str">
        <x:v>Modelo educativo baseado em premissas informadas pelo usuario. Os resultados sao simulacoes e nao constituem recomendacao de investimento.</x:v>
      </x:c>
      <x:c r="G20" s="62" t="str">
        <x:v>Modelo educativo baseado em premissas informadas pelo usuario. Os resultados sao simulacoes e nao constituem recomendacao de investimento.</x:v>
      </x:c>
      <x:c r="H20" s="63" t="str">
        <x:v>Modelo educativo baseado em premissas informadas pelo usuario. Os resultados sao simulacoes e nao constituem recomendacao de investimento.</x:v>
      </x:c>
    </x:row>
  </x:sheetData>
  <x:mergeCells>
    <x:mergeCell ref="A1:H1"/>
    <x:mergeCell ref="A2:H2"/>
    <x:mergeCell ref="A4:D4"/>
    <x:mergeCell ref="F4:H4"/>
    <x:mergeCell ref="A17:H17"/>
    <x:mergeCell ref="A18:H20"/>
  </x:mergeCells>
  <x:dataValidations count="2">
    <x:dataValidation type="whole" operator="between" sqref="B11">
      <x:formula1>1</x:formula1>
      <x:formula2>120</x:formula2>
    </x:dataValidation>
    <x:dataValidation type="list" sqref="B12">
      <x:formula1>"Sim,Nao"</x:formula1>
    </x:dataValidation>
  </x:dataValidations>
  <x:pageMargins left="0.7" right="0.7" top="0.75" bottom="0.75" header="0.3" footer="0.3"/>
  <x:legacyDrawing xmlns:r="http://schemas.openxmlformats.org/officeDocument/2006/relationships" r:id="R4a4d30f892ca458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0" hidden="0" customWidth="1"/>
  </x:cols>
  <x:sheetData>
    <x:row r="1" ht="34" customHeight="1">
      <x:c r="A1" s="4" t="str">
        <x:v>Simulacao mensal</x:v>
      </x:c>
      <x:c r="B1" s="4" t="str">
        <x:v>Simulacao mensal</x:v>
      </x:c>
      <x:c r="C1" s="4" t="str">
        <x:v>Simulacao mensal</x:v>
      </x:c>
      <x:c r="D1" s="4" t="str">
        <x:v>Simulacao mensal</x:v>
      </x:c>
      <x:c r="E1" s="4" t="str">
        <x:v>Simulacao mensal</x:v>
      </x:c>
      <x:c r="F1" s="4" t="str">
        <x:v>Simulacao mensal</x:v>
      </x:c>
      <x:c r="G1" s="4" t="str">
        <x:v>Simulacao mensal</x:v>
      </x:c>
      <x:c r="H1" s="4" t="str">
        <x:v>Simulacao mensal</x:v>
      </x:c>
      <x:c r="I1" s="4" t="str">
        <x:v>Simulacao mensal</x:v>
      </x:c>
      <x:c r="J1" s="4" t="str">
        <x:v>Simulacao mensal</x:v>
      </x:c>
      <x:c r="K1" s="4" t="str">
        <x:v>Simulacao mensal</x:v>
      </x:c>
      <x:c r="L1" s="4" t="str">
        <x:v>Simulacao mensal</x:v>
      </x:c>
      <x:c r="M1" s="4" t="str">
        <x:v>Simulacao mensal</x:v>
      </x:c>
      <x:c r="N1" s="4" t="str">
        <x:v>Simulacao mensal</x:v>
      </x:c>
      <x:c r="O1" s="4" t="str">
        <x:v>Simulacao mensal</x:v>
      </x:c>
      <x:c r="P1" s="4" t="str">
        <x:v>Simulacao mensal</x:v>
      </x:c>
      <x:c r="Q1" s="4" t="str">
        <x:v>Simulacao mensal</x:v>
      </x:c>
    </x:row>
    <x:row r="2">
      <x:c r="A2" s="7" t="str">
        <x:v>Linhas ativas respeitam o horizonte definido em Premissas. Os calculos compram cotas com aporte mensal e, opcionalmente, reinvestem dividendos.</x:v>
      </x:c>
      <x:c r="B2" s="7" t="str">
        <x:v>Linhas ativas respeitam o horizonte definido em Premissas. Os calculos compram cotas com aporte mensal e, opcionalmente, reinvestem dividendos.</x:v>
      </x:c>
      <x:c r="C2" s="7" t="str">
        <x:v>Linhas ativas respeitam o horizonte definido em Premissas. Os calculos compram cotas com aporte mensal e, opcionalmente, reinvestem dividendos.</x:v>
      </x:c>
      <x:c r="D2" s="7" t="str">
        <x:v>Linhas ativas respeitam o horizonte definido em Premissas. Os calculos compram cotas com aporte mensal e, opcionalmente, reinvestem dividendos.</x:v>
      </x:c>
      <x:c r="E2" s="7" t="str">
        <x:v>Linhas ativas respeitam o horizonte definido em Premissas. Os calculos compram cotas com aporte mensal e, opcionalmente, reinvestem dividendos.</x:v>
      </x:c>
      <x:c r="F2" s="7" t="str">
        <x:v>Linhas ativas respeitam o horizonte definido em Premissas. Os calculos compram cotas com aporte mensal e, opcionalmente, reinvestem dividendos.</x:v>
      </x:c>
      <x:c r="G2" s="7" t="str">
        <x:v>Linhas ativas respeitam o horizonte definido em Premissas. Os calculos compram cotas com aporte mensal e, opcionalmente, reinvestem dividendos.</x:v>
      </x:c>
      <x:c r="H2" s="7" t="str">
        <x:v>Linhas ativas respeitam o horizonte definido em Premissas. Os calculos compram cotas com aporte mensal e, opcionalmente, reinvestem dividendos.</x:v>
      </x:c>
      <x:c r="I2" s="7" t="str">
        <x:v>Linhas ativas respeitam o horizonte definido em Premissas. Os calculos compram cotas com aporte mensal e, opcionalmente, reinvestem dividendos.</x:v>
      </x:c>
      <x:c r="J2" s="7" t="str">
        <x:v>Linhas ativas respeitam o horizonte definido em Premissas. Os calculos compram cotas com aporte mensal e, opcionalmente, reinvestem dividendos.</x:v>
      </x:c>
      <x:c r="K2" s="7" t="str">
        <x:v>Linhas ativas respeitam o horizonte definido em Premissas. Os calculos compram cotas com aporte mensal e, opcionalmente, reinvestem dividendos.</x:v>
      </x:c>
      <x:c r="L2" s="7" t="str">
        <x:v>Linhas ativas respeitam o horizonte definido em Premissas. Os calculos compram cotas com aporte mensal e, opcionalmente, reinvestem dividendos.</x:v>
      </x:c>
      <x:c r="M2" s="7" t="str">
        <x:v>Linhas ativas respeitam o horizonte definido em Premissas. Os calculos compram cotas com aporte mensal e, opcionalmente, reinvestem dividendos.</x:v>
      </x:c>
      <x:c r="N2" s="7" t="str">
        <x:v>Linhas ativas respeitam o horizonte definido em Premissas. Os calculos compram cotas com aporte mensal e, opcionalmente, reinvestem dividendos.</x:v>
      </x:c>
      <x:c r="O2" s="7" t="str">
        <x:v>Linhas ativas respeitam o horizonte definido em Premissas. Os calculos compram cotas com aporte mensal e, opcionalmente, reinvestem dividendos.</x:v>
      </x:c>
      <x:c r="P2" s="7" t="str">
        <x:v>Linhas ativas respeitam o horizonte definido em Premissas. Os calculos compram cotas com aporte mensal e, opcionalmente, reinvestem dividendos.</x:v>
      </x:c>
      <x:c r="Q2" s="7" t="str">
        <x:v>Linhas ativas respeitam o horizonte definido em Premissas. Os calculos compram cotas com aporte mensal e, opcionalmente, reinvestem dividendos.</x:v>
      </x:c>
    </x:row>
    <x:row r="3">
      <x:c r="A3" s="16" t="str">
        <x:v>Mes</x:v>
      </x:c>
      <x:c r="B3" s="17" t="str">
        <x:v>Data</x:v>
      </x:c>
      <x:c r="C3" s="17" t="str">
        <x:v>Cotacao estimada</x:v>
      </x:c>
      <x:c r="D3" s="17" t="str">
        <x:v>Cotas iniciais</x:v>
      </x:c>
      <x:c r="E3" s="17" t="str">
        <x:v>Aporte do mes</x:v>
      </x:c>
      <x:c r="F3" s="17" t="str">
        <x:v>Dividendos brutos</x:v>
      </x:c>
      <x:c r="G3" s="17" t="str">
        <x:v>Custos/taxas</x:v>
      </x:c>
      <x:c r="H3" s="17" t="str">
        <x:v>Dividendos liquidos</x:v>
      </x:c>
      <x:c r="I3" s="17" t="str">
        <x:v>Reinvestimento</x:v>
      </x:c>
      <x:c r="J3" s="17" t="str">
        <x:v>Cotas compradas</x:v>
      </x:c>
      <x:c r="K3" s="17" t="str">
        <x:v>Cotas finais</x:v>
      </x:c>
      <x:c r="L3" s="17" t="str">
        <x:v>Patrimonio final</x:v>
      </x:c>
      <x:c r="M3" s="17" t="str">
        <x:v>Total aportado</x:v>
      </x:c>
      <x:c r="N3" s="17" t="str">
        <x:v>Dividendos gerados acum.</x:v>
      </x:c>
      <x:c r="O3" s="17" t="str">
        <x:v>Dividendos em caixa acum.</x:v>
      </x:c>
      <x:c r="P3" s="17" t="str">
        <x:v>Retorno total</x:v>
      </x:c>
      <x:c r="Q3" s="18" t="str">
        <x:v>Status</x:v>
      </x:c>
    </x:row>
    <x:row r="4">
      <x:c r="A4" s="65" t="n">
        <x:v>1</x:v>
      </x:c>
      <x:c r="B4" s="68" t="n">
        <x:f>IF($A4&lt;='Premissas'!$B$11,EDATE('Premissas'!$B$13,$A4-1),"")</x:f>
        <x:v>46266</x:v>
      </x:c>
      <x:c r="C4" s="71" t="n">
        <x:f>IF($A4&lt;='Premissas'!$B$11,'Premissas'!$B$8*(1+'Premissas'!$B$10)^($A4-1),"")</x:f>
        <x:v>100</x:v>
      </x:c>
      <x:c r="D4" s="74" t="n">
        <x:f>IF($A4&lt;='Premissas'!$B$11,IF($A4=1,'Premissas'!$B$6/'Premissas'!$B$8,K3),"")</x:f>
        <x:v>100</x:v>
      </x:c>
      <x:c r="E4" s="77" t="n">
        <x:f>IF($A4&lt;='Premissas'!$B$11,'Premissas'!$B$7,"")</x:f>
        <x:v>1000</x:v>
      </x:c>
      <x:c r="F4" s="77" t="n">
        <x:f>IF($A4&lt;='Premissas'!$B$11,D4*C4*'Premissas'!$B$9,"")</x:f>
        <x:v>80</x:v>
      </x:c>
      <x:c r="G4" s="77" t="n">
        <x:f>IF($A4&lt;='Premissas'!$B$11,D4*C4*'Premissas'!$B$14,"")</x:f>
        <x:v>0</x:v>
      </x:c>
      <x:c r="H4" s="77" t="n">
        <x:f>IF($A4&lt;='Premissas'!$B$11,MAX(F4-G4,0),"")</x:f>
        <x:v>80</x:v>
      </x:c>
      <x:c r="I4" s="77" t="n">
        <x:f>IF($A4&lt;='Premissas'!$B$11,IF('Premissas'!$B$12="Sim",H4,0),"")</x:f>
        <x:v>80</x:v>
      </x:c>
      <x:c r="J4" s="74" t="n">
        <x:f>IF($A4&lt;='Premissas'!$B$11,(E4+I4)/C4,"")</x:f>
        <x:v>10.8</x:v>
      </x:c>
      <x:c r="K4" s="74" t="n">
        <x:f>IF($A4&lt;='Premissas'!$B$11,D4+J4,"")</x:f>
        <x:v>110.8</x:v>
      </x:c>
      <x:c r="L4" s="77" t="n">
        <x:f>IF($A4&lt;='Premissas'!$B$11,K4*C4,"")</x:f>
        <x:v>11080</x:v>
      </x:c>
      <x:c r="M4" s="77" t="n">
        <x:f>IF($A4&lt;='Premissas'!$B$11,IF($A4=1,'Premissas'!$B$6+E4,M3+E4),"")</x:f>
        <x:v>11000</x:v>
      </x:c>
      <x:c r="N4" s="77" t="n">
        <x:f>IF($A4&lt;='Premissas'!$B$11,IF($A4=1,H4,N3+H4),"")</x:f>
        <x:v>80</x:v>
      </x:c>
      <x:c r="O4" s="77" t="n">
        <x:f>IF($A4&lt;='Premissas'!$B$11,IF($A4=1,IF('Premissas'!$B$12="Sim",0,H4),O3+IF('Premissas'!$B$12="Sim",0,H4)),"")</x:f>
        <x:v>0</x:v>
      </x:c>
      <x:c r="P4" s="80" t="n">
        <x:f>IF($A4&lt;='Premissas'!$B$11,IF(M4=0,0,(L4+O4)/M4-1),"")</x:f>
        <x:v>0.0072727272727273196</x:v>
      </x:c>
      <x:c r="Q4" s="83" t="str">
        <x:f>IF($A4&lt;='Premissas'!$B$11,"Ativo","Fora")</x:f>
        <x:v>Ativo</x:v>
      </x:c>
    </x:row>
    <x:row r="5">
      <x:c r="A5" s="66" t="n">
        <x:v>2</x:v>
      </x:c>
      <x:c r="B5" s="69" t="n">
        <x:f>IF($A5&lt;='Premissas'!$B$11,EDATE('Premissas'!$B$13,$A5-1),"")</x:f>
        <x:v>46296</x:v>
      </x:c>
      <x:c r="C5" s="72" t="n">
        <x:f>IF($A5&lt;='Premissas'!$B$11,'Premissas'!$B$8*(1+'Premissas'!$B$10)^($A5-1),"")</x:f>
        <x:v>100.2</x:v>
      </x:c>
      <x:c r="D5" s="75" t="n">
        <x:f>IF($A5&lt;='Premissas'!$B$11,IF($A5=1,'Premissas'!$B$6/'Premissas'!$B$8,K4),"")</x:f>
        <x:v>110.8</x:v>
      </x:c>
      <x:c r="E5" s="78" t="n">
        <x:f>IF($A5&lt;='Premissas'!$B$11,'Premissas'!$B$7,"")</x:f>
        <x:v>1000</x:v>
      </x:c>
      <x:c r="F5" s="78" t="n">
        <x:f>IF($A5&lt;='Premissas'!$B$11,D5*C5*'Premissas'!$B$9,"")</x:f>
        <x:v>88.81728</x:v>
      </x:c>
      <x:c r="G5" s="78" t="n">
        <x:f>IF($A5&lt;='Premissas'!$B$11,D5*C5*'Premissas'!$B$14,"")</x:f>
        <x:v>0</x:v>
      </x:c>
      <x:c r="H5" s="78" t="n">
        <x:f>IF($A5&lt;='Premissas'!$B$11,MAX(F5-G5,0),"")</x:f>
        <x:v>88.81728</x:v>
      </x:c>
      <x:c r="I5" s="78" t="n">
        <x:f>IF($A5&lt;='Premissas'!$B$11,IF('Premissas'!$B$12="Sim",H5,0),"")</x:f>
        <x:v>88.81728</x:v>
      </x:c>
      <x:c r="J5" s="75" t="n">
        <x:f>IF($A5&lt;='Premissas'!$B$11,(E5+I5)/C5,"")</x:f>
        <x:v>10.86643992015968</x:v>
      </x:c>
      <x:c r="K5" s="75" t="n">
        <x:f>IF($A5&lt;='Premissas'!$B$11,D5+J5,"")</x:f>
        <x:v>121.66643992015968</x:v>
      </x:c>
      <x:c r="L5" s="78" t="n">
        <x:f>IF($A5&lt;='Premissas'!$B$11,K5*C5,"")</x:f>
        <x:v>12190.97728</x:v>
      </x:c>
      <x:c r="M5" s="78" t="n">
        <x:f>IF($A5&lt;='Premissas'!$B$11,IF($A5=1,'Premissas'!$B$6+E5,M4+E5),"")</x:f>
        <x:v>12000</x:v>
      </x:c>
      <x:c r="N5" s="78" t="n">
        <x:f>IF($A5&lt;='Premissas'!$B$11,IF($A5=1,H5,N4+H5),"")</x:f>
        <x:v>168.81727999999998</x:v>
      </x:c>
      <x:c r="O5" s="78" t="n">
        <x:f>IF($A5&lt;='Premissas'!$B$11,IF($A5=1,IF('Premissas'!$B$12="Sim",0,H5),O4+IF('Premissas'!$B$12="Sim",0,H5)),"")</x:f>
        <x:v>0</x:v>
      </x:c>
      <x:c r="P5" s="81" t="n">
        <x:f>IF($A5&lt;='Premissas'!$B$11,IF(M5=0,0,(L5+O5)/M5-1),"")</x:f>
        <x:v>0.015914773333333354</x:v>
      </x:c>
      <x:c r="Q5" s="84" t="str">
        <x:f>IF($A5&lt;='Premissas'!$B$11,"Ativo","Fora")</x:f>
        <x:v>Ativo</x:v>
      </x:c>
    </x:row>
    <x:row r="6">
      <x:c r="A6" s="66" t="n">
        <x:v>3</x:v>
      </x:c>
      <x:c r="B6" s="69" t="n">
        <x:f>IF($A6&lt;='Premissas'!$B$11,EDATE('Premissas'!$B$13,$A6-1),"")</x:f>
        <x:v>46327</x:v>
      </x:c>
      <x:c r="C6" s="72" t="n">
        <x:f>IF($A6&lt;='Premissas'!$B$11,'Premissas'!$B$8*(1+'Premissas'!$B$10)^($A6-1),"")</x:f>
        <x:v>100.40039999999999</x:v>
      </x:c>
      <x:c r="D6" s="75" t="n">
        <x:f>IF($A6&lt;='Premissas'!$B$11,IF($A6=1,'Premissas'!$B$6/'Premissas'!$B$8,K5),"")</x:f>
        <x:v>121.66643992015968</x:v>
      </x:c>
      <x:c r="E6" s="78" t="n">
        <x:f>IF($A6&lt;='Premissas'!$B$11,'Premissas'!$B$7,"")</x:f>
        <x:v>1000</x:v>
      </x:c>
      <x:c r="F6" s="78" t="n">
        <x:f>IF($A6&lt;='Premissas'!$B$11,D6*C6*'Premissas'!$B$9,"")</x:f>
        <x:v>97.72287387648</x:v>
      </x:c>
      <x:c r="G6" s="78" t="n">
        <x:f>IF($A6&lt;='Premissas'!$B$11,D6*C6*'Premissas'!$B$14,"")</x:f>
        <x:v>0</x:v>
      </x:c>
      <x:c r="H6" s="78" t="n">
        <x:f>IF($A6&lt;='Premissas'!$B$11,MAX(F6-G6,0),"")</x:f>
        <x:v>97.72287387648</x:v>
      </x:c>
      <x:c r="I6" s="78" t="n">
        <x:f>IF($A6&lt;='Premissas'!$B$11,IF('Premissas'!$B$12="Sim",H6,0),"")</x:f>
        <x:v>97.72287387648</x:v>
      </x:c>
      <x:c r="J6" s="75" t="n">
        <x:f>IF($A6&lt;='Premissas'!$B$11,(E6+I6)/C6,"")</x:f>
        <x:v>10.933451200159363</x:v>
      </x:c>
      <x:c r="K6" s="75" t="n">
        <x:f>IF($A6&lt;='Premissas'!$B$11,D6+J6,"")</x:f>
        <x:v>132.59989112031903</x:v>
      </x:c>
      <x:c r="L6" s="78" t="n">
        <x:f>IF($A6&lt;='Premissas'!$B$11,K6*C6,"")</x:f>
        <x:v>13313.082108436478</x:v>
      </x:c>
      <x:c r="M6" s="78" t="n">
        <x:f>IF($A6&lt;='Premissas'!$B$11,IF($A6=1,'Premissas'!$B$6+E6,M5+E6),"")</x:f>
        <x:v>13000</x:v>
      </x:c>
      <x:c r="N6" s="78" t="n">
        <x:f>IF($A6&lt;='Premissas'!$B$11,IF($A6=1,H6,N5+H6),"")</x:f>
        <x:v>266.54015387647996</x:v>
      </x:c>
      <x:c r="O6" s="78" t="n">
        <x:f>IF($A6&lt;='Premissas'!$B$11,IF($A6=1,IF('Premissas'!$B$12="Sim",0,H6),O5+IF('Premissas'!$B$12="Sim",0,H6)),"")</x:f>
        <x:v>0</x:v>
      </x:c>
      <x:c r="P6" s="81" t="n">
        <x:f>IF($A6&lt;='Premissas'!$B$11,IF(M6=0,0,(L6+O6)/M6-1),"")</x:f>
        <x:v>0.024083239110498367</x:v>
      </x:c>
      <x:c r="Q6" s="84" t="str">
        <x:f>IF($A6&lt;='Premissas'!$B$11,"Ativo","Fora")</x:f>
        <x:v>Ativo</x:v>
      </x:c>
    </x:row>
    <x:row r="7">
      <x:c r="A7" s="66" t="n">
        <x:v>4</x:v>
      </x:c>
      <x:c r="B7" s="69" t="n">
        <x:f>IF($A7&lt;='Premissas'!$B$11,EDATE('Premissas'!$B$13,$A7-1),"")</x:f>
        <x:v>46357</x:v>
      </x:c>
      <x:c r="C7" s="72" t="n">
        <x:f>IF($A7&lt;='Premissas'!$B$11,'Premissas'!$B$8*(1+'Premissas'!$B$10)^($A7-1),"")</x:f>
        <x:v>100.60120079999999</x:v>
      </x:c>
      <x:c r="D7" s="75" t="n">
        <x:f>IF($A7&lt;='Premissas'!$B$11,IF($A7=1,'Premissas'!$B$6/'Premissas'!$B$8,K6),"")</x:f>
        <x:v>132.59989112031903</x:v>
      </x:c>
      <x:c r="E7" s="78" t="n">
        <x:f>IF($A7&lt;='Premissas'!$B$11,'Premissas'!$B$7,"")</x:f>
        <x:v>1000</x:v>
      </x:c>
      <x:c r="F7" s="78" t="n">
        <x:f>IF($A7&lt;='Premissas'!$B$11,D7*C7*'Premissas'!$B$9,"")</x:f>
        <x:v>106.7176661812268</x:v>
      </x:c>
      <x:c r="G7" s="78" t="n">
        <x:f>IF($A7&lt;='Premissas'!$B$11,D7*C7*'Premissas'!$B$14,"")</x:f>
        <x:v>0</x:v>
      </x:c>
      <x:c r="H7" s="78" t="n">
        <x:f>IF($A7&lt;='Premissas'!$B$11,MAX(F7-G7,0),"")</x:f>
        <x:v>106.7176661812268</x:v>
      </x:c>
      <x:c r="I7" s="78" t="n">
        <x:f>IF($A7&lt;='Premissas'!$B$11,IF('Premissas'!$B$12="Sim",H7,0),"")</x:f>
        <x:v>106.7176661812268</x:v>
      </x:c>
      <x:c r="J7" s="75" t="n">
        <x:f>IF($A7&lt;='Premissas'!$B$11,(E7+I7)/C7,"")</x:f>
        <x:v>11.001038331355852</x:v>
      </x:c>
      <x:c r="K7" s="75" t="n">
        <x:f>IF($A7&lt;='Premissas'!$B$11,D7+J7,"")</x:f>
        <x:v>143.6009294516749</x:v>
      </x:c>
      <x:c r="L7" s="78" t="n">
        <x:f>IF($A7&lt;='Premissas'!$B$11,K7*C7,"")</x:f>
        <x:v>14446.425938834578</x:v>
      </x:c>
      <x:c r="M7" s="78" t="n">
        <x:f>IF($A7&lt;='Premissas'!$B$11,IF($A7=1,'Premissas'!$B$6+E7,M6+E7),"")</x:f>
        <x:v>14000</x:v>
      </x:c>
      <x:c r="N7" s="78" t="n">
        <x:f>IF($A7&lt;='Premissas'!$B$11,IF($A7=1,H7,N6+H7),"")</x:f>
        <x:v>373.2578200577068</x:v>
      </x:c>
      <x:c r="O7" s="78" t="n">
        <x:f>IF($A7&lt;='Premissas'!$B$11,IF($A7=1,IF('Premissas'!$B$12="Sim",0,H7),O6+IF('Premissas'!$B$12="Sim",0,H7)),"")</x:f>
        <x:v>0</x:v>
      </x:c>
      <x:c r="P7" s="81" t="n">
        <x:f>IF($A7&lt;='Premissas'!$B$11,IF(M7=0,0,(L7+O7)/M7-1),"")</x:f>
        <x:v>0.03188756705961282</x:v>
      </x:c>
      <x:c r="Q7" s="84" t="str">
        <x:f>IF($A7&lt;='Premissas'!$B$11,"Ativo","Fora")</x:f>
        <x:v>Ativo</x:v>
      </x:c>
    </x:row>
    <x:row r="8">
      <x:c r="A8" s="66" t="n">
        <x:v>5</x:v>
      </x:c>
      <x:c r="B8" s="69" t="n">
        <x:f>IF($A8&lt;='Premissas'!$B$11,EDATE('Premissas'!$B$13,$A8-1),"")</x:f>
        <x:v>46388</x:v>
      </x:c>
      <x:c r="C8" s="72" t="n">
        <x:f>IF($A8&lt;='Premissas'!$B$11,'Premissas'!$B$8*(1+'Premissas'!$B$10)^($A8-1),"")</x:f>
        <x:v>100.80240320160001</x:v>
      </x:c>
      <x:c r="D8" s="75" t="n">
        <x:f>IF($A8&lt;='Premissas'!$B$11,IF($A8=1,'Premissas'!$B$6/'Premissas'!$B$8,K7),"")</x:f>
        <x:v>143.6009294516749</x:v>
      </x:c>
      <x:c r="E8" s="78" t="n">
        <x:f>IF($A8&lt;='Premissas'!$B$11,'Premissas'!$B$7,"")</x:f>
        <x:v>1000</x:v>
      </x:c>
      <x:c r="F8" s="78" t="n">
        <x:f>IF($A8&lt;='Premissas'!$B$11,D8*C8*'Premissas'!$B$9,"")</x:f>
        <x:v>115.80255032569801</x:v>
      </x:c>
      <x:c r="G8" s="78" t="n">
        <x:f>IF($A8&lt;='Premissas'!$B$11,D8*C8*'Premissas'!$B$14,"")</x:f>
        <x:v>0</x:v>
      </x:c>
      <x:c r="H8" s="78" t="n">
        <x:f>IF($A8&lt;='Premissas'!$B$11,MAX(F8-G8,0),"")</x:f>
        <x:v>115.80255032569801</x:v>
      </x:c>
      <x:c r="I8" s="78" t="n">
        <x:f>IF($A8&lt;='Premissas'!$B$11,IF('Premissas'!$B$12="Sim",H8,0),"")</x:f>
        <x:v>115.80255032569801</x:v>
      </x:c>
      <x:c r="J8" s="75" t="n">
        <x:f>IF($A8&lt;='Premissas'!$B$11,(E8+I8)/C8,"")</x:f>
        <x:v>11.069205841195533</x:v>
      </x:c>
      <x:c r="K8" s="75" t="n">
        <x:f>IF($A8&lt;='Premissas'!$B$11,D8+J8,"")</x:f>
        <x:v>154.6701352928704</x:v>
      </x:c>
      <x:c r="L8" s="78" t="n">
        <x:f>IF($A8&lt;='Premissas'!$B$11,K8*C8,"")</x:f>
        <x:v>15591.121341037948</x:v>
      </x:c>
      <x:c r="M8" s="78" t="n">
        <x:f>IF($A8&lt;='Premissas'!$B$11,IF($A8=1,'Premissas'!$B$6+E8,M7+E8),"")</x:f>
        <x:v>15000</x:v>
      </x:c>
      <x:c r="N8" s="78" t="n">
        <x:f>IF($A8&lt;='Premissas'!$B$11,IF($A8=1,H8,N7+H8),"")</x:f>
        <x:v>489.0603703834048</x:v>
      </x:c>
      <x:c r="O8" s="78" t="n">
        <x:f>IF($A8&lt;='Premissas'!$B$11,IF($A8=1,IF('Premissas'!$B$12="Sim",0,H8),O7+IF('Premissas'!$B$12="Sim",0,H8)),"")</x:f>
        <x:v>0</x:v>
      </x:c>
      <x:c r="P8" s="81" t="n">
        <x:f>IF($A8&lt;='Premissas'!$B$11,IF(M8=0,0,(L8+O8)/M8-1),"")</x:f>
        <x:v>0.03940808940252993</x:v>
      </x:c>
      <x:c r="Q8" s="84" t="str">
        <x:f>IF($A8&lt;='Premissas'!$B$11,"Ativo","Fora")</x:f>
        <x:v>Ativo</x:v>
      </x:c>
    </x:row>
    <x:row r="9">
      <x:c r="A9" s="66" t="n">
        <x:v>6</x:v>
      </x:c>
      <x:c r="B9" s="69" t="n">
        <x:f>IF($A9&lt;='Premissas'!$B$11,EDATE('Premissas'!$B$13,$A9-1),"")</x:f>
        <x:v>46419</x:v>
      </x:c>
      <x:c r="C9" s="72" t="n">
        <x:f>IF($A9&lt;='Premissas'!$B$11,'Premissas'!$B$8*(1+'Premissas'!$B$10)^($A9-1),"")</x:f>
        <x:v>101.0040080080032</x:v>
      </x:c>
      <x:c r="D9" s="75" t="n">
        <x:f>IF($A9&lt;='Premissas'!$B$11,IF($A9=1,'Premissas'!$B$6/'Premissas'!$B$8,K8),"")</x:f>
        <x:v>154.6701352928704</x:v>
      </x:c>
      <x:c r="E9" s="78" t="n">
        <x:f>IF($A9&lt;='Premissas'!$B$11,'Premissas'!$B$7,"")</x:f>
        <x:v>1000</x:v>
      </x:c>
      <x:c r="F9" s="78" t="n">
        <x:f>IF($A9&lt;='Premissas'!$B$11,D9*C9*'Premissas'!$B$9,"")</x:f>
        <x:v>124.97842866976016</x:v>
      </x:c>
      <x:c r="G9" s="78" t="n">
        <x:f>IF($A9&lt;='Premissas'!$B$11,D9*C9*'Premissas'!$B$14,"")</x:f>
        <x:v>0</x:v>
      </x:c>
      <x:c r="H9" s="78" t="n">
        <x:f>IF($A9&lt;='Premissas'!$B$11,MAX(F9-G9,0),"")</x:f>
        <x:v>124.97842866976016</x:v>
      </x:c>
      <x:c r="I9" s="78" t="n">
        <x:f>IF($A9&lt;='Premissas'!$B$11,IF('Premissas'!$B$12="Sim",H9,0),"")</x:f>
        <x:v>124.97842866976016</x:v>
      </x:c>
      <x:c r="J9" s="75" t="n">
        <x:f>IF($A9&lt;='Premissas'!$B$11,(E9+I9)/C9,"")</x:f>
        <x:v>11.137958293502779</x:v>
      </x:c>
      <x:c r="K9" s="75" t="n">
        <x:f>IF($A9&lt;='Premissas'!$B$11,D9+J9,"")</x:f>
        <x:v>165.8080935863732</x:v>
      </x:c>
      <x:c r="L9" s="78" t="n">
        <x:f>IF($A9&lt;='Premissas'!$B$11,K9*C9,"")</x:f>
        <x:v>16747.28201238978</x:v>
      </x:c>
      <x:c r="M9" s="78" t="n">
        <x:f>IF($A9&lt;='Premissas'!$B$11,IF($A9=1,'Premissas'!$B$6+E9,M8+E9),"")</x:f>
        <x:v>16000</x:v>
      </x:c>
      <x:c r="N9" s="78" t="n">
        <x:f>IF($A9&lt;='Premissas'!$B$11,IF($A9=1,H9,N8+H9),"")</x:f>
        <x:v>614.038799053165</x:v>
      </x:c>
      <x:c r="O9" s="78" t="n">
        <x:f>IF($A9&lt;='Premissas'!$B$11,IF($A9=1,IF('Premissas'!$B$12="Sim",0,H9),O8+IF('Premissas'!$B$12="Sim",0,H9)),"")</x:f>
        <x:v>0</x:v>
      </x:c>
      <x:c r="P9" s="81" t="n">
        <x:f>IF($A9&lt;='Premissas'!$B$11,IF(M9=0,0,(L9+O9)/M9-1),"")</x:f>
        <x:v>0.046705125774361145</x:v>
      </x:c>
      <x:c r="Q9" s="84" t="str">
        <x:f>IF($A9&lt;='Premissas'!$B$11,"Ativo","Fora")</x:f>
        <x:v>Ativo</x:v>
      </x:c>
    </x:row>
    <x:row r="10">
      <x:c r="A10" s="66" t="n">
        <x:v>7</x:v>
      </x:c>
      <x:c r="B10" s="69" t="n">
        <x:f>IF($A10&lt;='Premissas'!$B$11,EDATE('Premissas'!$B$13,$A10-1),"")</x:f>
        <x:v>46447</x:v>
      </x:c>
      <x:c r="C10" s="72" t="n">
        <x:f>IF($A10&lt;='Premissas'!$B$11,'Premissas'!$B$8*(1+'Premissas'!$B$10)^($A10-1),"")</x:f>
        <x:v>101.20601602401919</x:v>
      </x:c>
      <x:c r="D10" s="75" t="n">
        <x:f>IF($A10&lt;='Premissas'!$B$11,IF($A10=1,'Premissas'!$B$6/'Premissas'!$B$8,K9),"")</x:f>
        <x:v>165.8080935863732</x:v>
      </x:c>
      <x:c r="E10" s="78" t="n">
        <x:f>IF($A10&lt;='Premissas'!$B$11,'Premissas'!$B$7,"")</x:f>
        <x:v>1000</x:v>
      </x:c>
      <x:c r="F10" s="78" t="n">
        <x:f>IF($A10&lt;='Premissas'!$B$11,D10*C10*'Premissas'!$B$9,"")</x:f>
        <x:v>134.24621261131648</x:v>
      </x:c>
      <x:c r="G10" s="78" t="n">
        <x:f>IF($A10&lt;='Premissas'!$B$11,D10*C10*'Premissas'!$B$14,"")</x:f>
        <x:v>0</x:v>
      </x:c>
      <x:c r="H10" s="78" t="n">
        <x:f>IF($A10&lt;='Premissas'!$B$11,MAX(F10-G10,0),"")</x:f>
        <x:v>134.24621261131648</x:v>
      </x:c>
      <x:c r="I10" s="78" t="n">
        <x:f>IF($A10&lt;='Premissas'!$B$11,IF('Premissas'!$B$12="Sim",H10,0),"")</x:f>
        <x:v>134.24621261131648</x:v>
      </x:c>
      <x:c r="J10" s="75" t="n">
        <x:f>IF($A10&lt;='Premissas'!$B$11,(E10+I10)/C10,"")</x:f>
        <x:v>11.207300288770641</x:v>
      </x:c>
      <x:c r="K10" s="75" t="n">
        <x:f>IF($A10&lt;='Premissas'!$B$11,D10+J10,"")</x:f>
        <x:v>177.01539387514384</x:v>
      </x:c>
      <x:c r="L10" s="78" t="n">
        <x:f>IF($A10&lt;='Premissas'!$B$11,K10*C10,"")</x:f>
        <x:v>17915.022789025876</x:v>
      </x:c>
      <x:c r="M10" s="78" t="n">
        <x:f>IF($A10&lt;='Premissas'!$B$11,IF($A10=1,'Premissas'!$B$6+E10,M9+E10),"")</x:f>
        <x:v>17000</x:v>
      </x:c>
      <x:c r="N10" s="78" t="n">
        <x:f>IF($A10&lt;='Premissas'!$B$11,IF($A10=1,H10,N9+H10),"")</x:f>
        <x:v>748.2850116644815</x:v>
      </x:c>
      <x:c r="O10" s="78" t="n">
        <x:f>IF($A10&lt;='Premissas'!$B$11,IF($A10=1,IF('Premissas'!$B$12="Sim",0,H10),O9+IF('Premissas'!$B$12="Sim",0,H10)),"")</x:f>
        <x:v>0</x:v>
      </x:c>
      <x:c r="P10" s="81" t="n">
        <x:f>IF($A10&lt;='Premissas'!$B$11,IF(M10=0,0,(L10+O10)/M10-1),"")</x:f>
        <x:v>0.05382486994269864</x:v>
      </x:c>
      <x:c r="Q10" s="84" t="str">
        <x:f>IF($A10&lt;='Premissas'!$B$11,"Ativo","Fora")</x:f>
        <x:v>Ativo</x:v>
      </x:c>
    </x:row>
    <x:row r="11">
      <x:c r="A11" s="66" t="n">
        <x:v>8</x:v>
      </x:c>
      <x:c r="B11" s="69" t="n">
        <x:f>IF($A11&lt;='Premissas'!$B$11,EDATE('Premissas'!$B$13,$A11-1),"")</x:f>
        <x:v>46478</x:v>
      </x:c>
      <x:c r="C11" s="72" t="n">
        <x:f>IF($A11&lt;='Premissas'!$B$11,'Premissas'!$B$8*(1+'Premissas'!$B$10)^($A11-1),"")</x:f>
        <x:v>101.40842805606725</x:v>
      </x:c>
      <x:c r="D11" s="75" t="n">
        <x:f>IF($A11&lt;='Premissas'!$B$11,IF($A11=1,'Premissas'!$B$6/'Premissas'!$B$8,K10),"")</x:f>
        <x:v>177.01539387514384</x:v>
      </x:c>
      <x:c r="E11" s="78" t="n">
        <x:f>IF($A11&lt;='Premissas'!$B$11,'Premissas'!$B$7,"")</x:f>
        <x:v>1000</x:v>
      </x:c>
      <x:c r="F11" s="78" t="n">
        <x:f>IF($A11&lt;='Premissas'!$B$11,D11*C11*'Premissas'!$B$9,"")</x:f>
        <x:v>143.60682267683146</x:v>
      </x:c>
      <x:c r="G11" s="78" t="n">
        <x:f>IF($A11&lt;='Premissas'!$B$11,D11*C11*'Premissas'!$B$14,"")</x:f>
        <x:v>0</x:v>
      </x:c>
      <x:c r="H11" s="78" t="n">
        <x:f>IF($A11&lt;='Premissas'!$B$11,MAX(F11-G11,0),"")</x:f>
        <x:v>143.60682267683146</x:v>
      </x:c>
      <x:c r="I11" s="78" t="n">
        <x:f>IF($A11&lt;='Premissas'!$B$11,IF('Premissas'!$B$12="Sim",H11,0),"")</x:f>
        <x:v>143.60682267683146</x:v>
      </x:c>
      <x:c r="J11" s="75" t="n">
        <x:f>IF($A11&lt;='Premissas'!$B$11,(E11+I11)/C11,"")</x:f>
        <x:v>11.277236464453898</x:v>
      </x:c>
      <x:c r="K11" s="75" t="n">
        <x:f>IF($A11&lt;='Premissas'!$B$11,D11+J11,"")</x:f>
        <x:v>188.29263033959774</x:v>
      </x:c>
      <x:c r="L11" s="78" t="n">
        <x:f>IF($A11&lt;='Premissas'!$B$11,K11*C11,"")</x:f>
        <x:v>19094.459657280764</x:v>
      </x:c>
      <x:c r="M11" s="78" t="n">
        <x:f>IF($A11&lt;='Premissas'!$B$11,IF($A11=1,'Premissas'!$B$6+E11,M10+E11),"")</x:f>
        <x:v>18000</x:v>
      </x:c>
      <x:c r="N11" s="78" t="n">
        <x:f>IF($A11&lt;='Premissas'!$B$11,IF($A11=1,H11,N10+H11),"")</x:f>
        <x:v>891.891834341313</x:v>
      </x:c>
      <x:c r="O11" s="78" t="n">
        <x:f>IF($A11&lt;='Premissas'!$B$11,IF($A11=1,IF('Premissas'!$B$12="Sim",0,H11),O10+IF('Premissas'!$B$12="Sim",0,H11)),"")</x:f>
        <x:v>0</x:v>
      </x:c>
      <x:c r="P11" s="81" t="n">
        <x:f>IF($A11&lt;='Premissas'!$B$11,IF(M11=0,0,(L11+O11)/M11-1),"")</x:f>
        <x:v>0.06080331429337571</x:v>
      </x:c>
      <x:c r="Q11" s="84" t="str">
        <x:f>IF($A11&lt;='Premissas'!$B$11,"Ativo","Fora")</x:f>
        <x:v>Ativo</x:v>
      </x:c>
    </x:row>
    <x:row r="12">
      <x:c r="A12" s="66" t="n">
        <x:v>9</x:v>
      </x:c>
      <x:c r="B12" s="69" t="n">
        <x:f>IF($A12&lt;='Premissas'!$B$11,EDATE('Premissas'!$B$13,$A12-1),"")</x:f>
        <x:v>46508</x:v>
      </x:c>
      <x:c r="C12" s="72" t="n">
        <x:f>IF($A12&lt;='Premissas'!$B$11,'Premissas'!$B$8*(1+'Premissas'!$B$10)^($A12-1),"")</x:f>
        <x:v>101.61124491217939</x:v>
      </x:c>
      <x:c r="D12" s="75" t="n">
        <x:f>IF($A12&lt;='Premissas'!$B$11,IF($A12=1,'Premissas'!$B$6/'Premissas'!$B$8,K11),"")</x:f>
        <x:v>188.29263033959774</x:v>
      </x:c>
      <x:c r="E12" s="78" t="n">
        <x:f>IF($A12&lt;='Premissas'!$B$11,'Premissas'!$B$7,"")</x:f>
        <x:v>1000</x:v>
      </x:c>
      <x:c r="F12" s="78" t="n">
        <x:f>IF($A12&lt;='Premissas'!$B$11,D12*C12*'Premissas'!$B$9,"")</x:f>
        <x:v>153.0611886127626</x:v>
      </x:c>
      <x:c r="G12" s="78" t="n">
        <x:f>IF($A12&lt;='Premissas'!$B$11,D12*C12*'Premissas'!$B$14,"")</x:f>
        <x:v>0</x:v>
      </x:c>
      <x:c r="H12" s="78" t="n">
        <x:f>IF($A12&lt;='Premissas'!$B$11,MAX(F12-G12,0),"")</x:f>
        <x:v>153.0611886127626</x:v>
      </x:c>
      <x:c r="I12" s="78" t="n">
        <x:f>IF($A12&lt;='Premissas'!$B$11,IF('Premissas'!$B$12="Sim",H12,0),"")</x:f>
        <x:v>153.0611886127626</x:v>
      </x:c>
      <x:c r="J12" s="75" t="n">
        <x:f>IF($A12&lt;='Premissas'!$B$11,(E12+I12)/C12,"")</x:f>
        <x:v>11.347771495264436</x:v>
      </x:c>
      <x:c r="K12" s="75" t="n">
        <x:f>IF($A12&lt;='Premissas'!$B$11,D12+J12,"")</x:f>
        <x:v>199.64040183486216</x:v>
      </x:c>
      <x:c r="L12" s="78" t="n">
        <x:f>IF($A12&lt;='Premissas'!$B$11,K12*C12,"")</x:f>
        <x:v>20285.709765208085</x:v>
      </x:c>
      <x:c r="M12" s="78" t="n">
        <x:f>IF($A12&lt;='Premissas'!$B$11,IF($A12=1,'Premissas'!$B$6+E12,M11+E12),"")</x:f>
        <x:v>19000</x:v>
      </x:c>
      <x:c r="N12" s="78" t="n">
        <x:f>IF($A12&lt;='Premissas'!$B$11,IF($A12=1,H12,N11+H12),"")</x:f>
        <x:v>1044.9530229540755</x:v>
      </x:c>
      <x:c r="O12" s="78" t="n">
        <x:f>IF($A12&lt;='Premissas'!$B$11,IF($A12=1,IF('Premissas'!$B$12="Sim",0,H12),O11+IF('Premissas'!$B$12="Sim",0,H12)),"")</x:f>
        <x:v>0</x:v>
      </x:c>
      <x:c r="P12" s="81" t="n">
        <x:f>IF($A12&lt;='Premissas'!$B$11,IF(M12=0,0,(L12+O12)/M12-1),"")</x:f>
        <x:v>0.06766893501095184</x:v>
      </x:c>
      <x:c r="Q12" s="84" t="str">
        <x:f>IF($A12&lt;='Premissas'!$B$11,"Ativo","Fora")</x:f>
        <x:v>Ativo</x:v>
      </x:c>
    </x:row>
    <x:row r="13">
      <x:c r="A13" s="66" t="n">
        <x:v>10</x:v>
      </x:c>
      <x:c r="B13" s="69" t="n">
        <x:f>IF($A13&lt;='Premissas'!$B$11,EDATE('Premissas'!$B$13,$A13-1),"")</x:f>
        <x:v>46539</x:v>
      </x:c>
      <x:c r="C13" s="72" t="n">
        <x:f>IF($A13&lt;='Premissas'!$B$11,'Premissas'!$B$8*(1+'Premissas'!$B$10)^($A13-1),"")</x:f>
        <x:v>101.81446740200374</x:v>
      </x:c>
      <x:c r="D13" s="75" t="n">
        <x:f>IF($A13&lt;='Premissas'!$B$11,IF($A13=1,'Premissas'!$B$6/'Premissas'!$B$8,K12),"")</x:f>
        <x:v>199.64040183486216</x:v>
      </x:c>
      <x:c r="E13" s="78" t="n">
        <x:f>IF($A13&lt;='Premissas'!$B$11,'Premissas'!$B$7,"")</x:f>
        <x:v>1000</x:v>
      </x:c>
      <x:c r="F13" s="78" t="n">
        <x:f>IF($A13&lt;='Premissas'!$B$11,D13*C13*'Premissas'!$B$9,"")</x:f>
        <x:v>162.610249477908</x:v>
      </x:c>
      <x:c r="G13" s="78" t="n">
        <x:f>IF($A13&lt;='Premissas'!$B$11,D13*C13*'Premissas'!$B$14,"")</x:f>
        <x:v>0</x:v>
      </x:c>
      <x:c r="H13" s="78" t="n">
        <x:f>IF($A13&lt;='Premissas'!$B$11,MAX(F13-G13,0),"")</x:f>
        <x:v>162.610249477908</x:v>
      </x:c>
      <x:c r="I13" s="78" t="n">
        <x:f>IF($A13&lt;='Premissas'!$B$11,IF('Premissas'!$B$12="Sim",H13,0),"")</x:f>
        <x:v>162.610249477908</x:v>
      </x:c>
      <x:c r="J13" s="75" t="n">
        <x:f>IF($A13&lt;='Premissas'!$B$11,(E13+I13)/C13,"")</x:f>
        <x:v>11.41891009346897</x:v>
      </x:c>
      <x:c r="K13" s="75" t="n">
        <x:f>IF($A13&lt;='Premissas'!$B$11,D13+J13,"")</x:f>
        <x:v>211.05931192833114</x:v>
      </x:c>
      <x:c r="L13" s="78" t="n">
        <x:f>IF($A13&lt;='Premissas'!$B$11,K13*C13,"")</x:f>
        <x:v>21488.89143421641</x:v>
      </x:c>
      <x:c r="M13" s="78" t="n">
        <x:f>IF($A13&lt;='Premissas'!$B$11,IF($A13=1,'Premissas'!$B$6+E13,M12+E13),"")</x:f>
        <x:v>20000</x:v>
      </x:c>
      <x:c r="N13" s="78" t="n">
        <x:f>IF($A13&lt;='Premissas'!$B$11,IF($A13=1,H13,N12+H13),"")</x:f>
        <x:v>1207.5632724319835</x:v>
      </x:c>
      <x:c r="O13" s="78" t="n">
        <x:f>IF($A13&lt;='Premissas'!$B$11,IF($A13=1,IF('Premissas'!$B$12="Sim",0,H13),O12+IF('Premissas'!$B$12="Sim",0,H13)),"")</x:f>
        <x:v>0</x:v>
      </x:c>
      <x:c r="P13" s="81" t="n">
        <x:f>IF($A13&lt;='Premissas'!$B$11,IF(M13=0,0,(L13+O13)/M13-1),"")</x:f>
        <x:v>0.07444457171082042</x:v>
      </x:c>
      <x:c r="Q13" s="84" t="str">
        <x:f>IF($A13&lt;='Premissas'!$B$11,"Ativo","Fora")</x:f>
        <x:v>Ativo</x:v>
      </x:c>
    </x:row>
    <x:row r="14">
      <x:c r="A14" s="66" t="n">
        <x:v>11</x:v>
      </x:c>
      <x:c r="B14" s="69" t="n">
        <x:f>IF($A14&lt;='Premissas'!$B$11,EDATE('Premissas'!$B$13,$A14-1),"")</x:f>
        <x:v>46569</x:v>
      </x:c>
      <x:c r="C14" s="72" t="n">
        <x:f>IF($A14&lt;='Premissas'!$B$11,'Premissas'!$B$8*(1+'Premissas'!$B$10)^($A14-1),"")</x:f>
        <x:v>102.01809633680774</x:v>
      </x:c>
      <x:c r="D14" s="75" t="n">
        <x:f>IF($A14&lt;='Premissas'!$B$11,IF($A14=1,'Premissas'!$B$6/'Premissas'!$B$8,K13),"")</x:f>
        <x:v>211.05931192833114</x:v>
      </x:c>
      <x:c r="E14" s="78" t="n">
        <x:f>IF($A14&lt;='Premissas'!$B$11,'Premissas'!$B$7,"")</x:f>
        <x:v>1000</x:v>
      </x:c>
      <x:c r="F14" s="78" t="n">
        <x:f>IF($A14&lt;='Premissas'!$B$11,D14*C14*'Premissas'!$B$9,"")</x:f>
        <x:v>172.25495373667874</x:v>
      </x:c>
      <x:c r="G14" s="78" t="n">
        <x:f>IF($A14&lt;='Premissas'!$B$11,D14*C14*'Premissas'!$B$14,"")</x:f>
        <x:v>0</x:v>
      </x:c>
      <x:c r="H14" s="78" t="n">
        <x:f>IF($A14&lt;='Premissas'!$B$11,MAX(F14-G14,0),"")</x:f>
        <x:v>172.25495373667874</x:v>
      </x:c>
      <x:c r="I14" s="78" t="n">
        <x:f>IF($A14&lt;='Premissas'!$B$11,IF('Premissas'!$B$12="Sim",H14,0),"")</x:f>
        <x:v>172.25495373667874</x:v>
      </x:c>
      <x:c r="J14" s="75" t="n">
        <x:f>IF($A14&lt;='Premissas'!$B$11,(E14+I14)/C14,"")</x:f>
        <x:v>11.490657009189198</x:v>
      </x:c>
      <x:c r="K14" s="75" t="n">
        <x:f>IF($A14&lt;='Premissas'!$B$11,D14+J14,"")</x:f>
        <x:v>222.54996893752033</x:v>
      </x:c>
      <x:c r="L14" s="78" t="n">
        <x:f>IF($A14&lt;='Premissas'!$B$11,K14*C14,"")</x:f>
        <x:v>22704.12417082152</x:v>
      </x:c>
      <x:c r="M14" s="78" t="n">
        <x:f>IF($A14&lt;='Premissas'!$B$11,IF($A14=1,'Premissas'!$B$6+E14,M13+E14),"")</x:f>
        <x:v>21000</x:v>
      </x:c>
      <x:c r="N14" s="78" t="n">
        <x:f>IF($A14&lt;='Premissas'!$B$11,IF($A14=1,H14,N13+H14),"")</x:f>
        <x:v>1379.8182261686622</x:v>
      </x:c>
      <x:c r="O14" s="78" t="n">
        <x:f>IF($A14&lt;='Premissas'!$B$11,IF($A14=1,IF('Premissas'!$B$12="Sim",0,H14),O13+IF('Premissas'!$B$12="Sim",0,H14)),"")</x:f>
        <x:v>0</x:v>
      </x:c>
      <x:c r="P14" s="81" t="n">
        <x:f>IF($A14&lt;='Premissas'!$B$11,IF(M14=0,0,(L14+O14)/M14-1),"")</x:f>
        <x:v>0.08114877003912002</x:v>
      </x:c>
      <x:c r="Q14" s="84" t="str">
        <x:f>IF($A14&lt;='Premissas'!$B$11,"Ativo","Fora")</x:f>
        <x:v>Ativo</x:v>
      </x:c>
    </x:row>
    <x:row r="15">
      <x:c r="A15" s="66" t="n">
        <x:v>12</x:v>
      </x:c>
      <x:c r="B15" s="69" t="n">
        <x:f>IF($A15&lt;='Premissas'!$B$11,EDATE('Premissas'!$B$13,$A15-1),"")</x:f>
        <x:v>46600</x:v>
      </x:c>
      <x:c r="C15" s="72" t="n">
        <x:f>IF($A15&lt;='Premissas'!$B$11,'Premissas'!$B$8*(1+'Premissas'!$B$10)^($A15-1),"")</x:f>
        <x:v>102.22213252948136</x:v>
      </x:c>
      <x:c r="D15" s="75" t="n">
        <x:f>IF($A15&lt;='Premissas'!$B$11,IF($A15=1,'Premissas'!$B$6/'Premissas'!$B$8,K14),"")</x:f>
        <x:v>222.54996893752033</x:v>
      </x:c>
      <x:c r="E15" s="78" t="n">
        <x:f>IF($A15&lt;='Premissas'!$B$11,'Premissas'!$B$7,"")</x:f>
        <x:v>1000</x:v>
      </x:c>
      <x:c r="F15" s="78" t="n">
        <x:f>IF($A15&lt;='Premissas'!$B$11,D15*C15*'Premissas'!$B$9,"")</x:f>
        <x:v>181.9962593533053</x:v>
      </x:c>
      <x:c r="G15" s="78" t="n">
        <x:f>IF($A15&lt;='Premissas'!$B$11,D15*C15*'Premissas'!$B$14,"")</x:f>
        <x:v>0</x:v>
      </x:c>
      <x:c r="H15" s="78" t="n">
        <x:f>IF($A15&lt;='Premissas'!$B$11,MAX(F15-G15,0),"")</x:f>
        <x:v>181.9962593533053</x:v>
      </x:c>
      <x:c r="I15" s="78" t="n">
        <x:f>IF($A15&lt;='Premissas'!$B$11,IF('Premissas'!$B$12="Sim",H15,0),"")</x:f>
        <x:v>181.9962593533053</x:v>
      </x:c>
      <x:c r="J15" s="75" t="n">
        <x:f>IF($A15&lt;='Premissas'!$B$11,(E15+I15)/C15,"")</x:f>
        <x:v>11.563017030704303</x:v>
      </x:c>
      <x:c r="K15" s="75" t="n">
        <x:f>IF($A15&lt;='Premissas'!$B$11,D15+J15,"")</x:f>
        <x:v>234.11298596822465</x:v>
      </x:c>
      <x:c r="L15" s="78" t="n">
        <x:f>IF($A15&lt;='Premissas'!$B$11,K15*C15,"")</x:f>
        <x:v>23931.528678516468</x:v>
      </x:c>
      <x:c r="M15" s="78" t="n">
        <x:f>IF($A15&lt;='Premissas'!$B$11,IF($A15=1,'Premissas'!$B$6+E15,M14+E15),"")</x:f>
        <x:v>22000</x:v>
      </x:c>
      <x:c r="N15" s="78" t="n">
        <x:f>IF($A15&lt;='Premissas'!$B$11,IF($A15=1,H15,N14+H15),"")</x:f>
        <x:v>1561.8144855219675</x:v>
      </x:c>
      <x:c r="O15" s="78" t="n">
        <x:f>IF($A15&lt;='Premissas'!$B$11,IF($A15=1,IF('Premissas'!$B$12="Sim",0,H15),O14+IF('Premissas'!$B$12="Sim",0,H15)),"")</x:f>
        <x:v>0</x:v>
      </x:c>
      <x:c r="P15" s="81" t="n">
        <x:f>IF($A15&lt;='Premissas'!$B$11,IF(M15=0,0,(L15+O15)/M15-1),"")</x:f>
        <x:v>0.08779675811438481</x:v>
      </x:c>
      <x:c r="Q15" s="84" t="str">
        <x:f>IF($A15&lt;='Premissas'!$B$11,"Ativo","Fora")</x:f>
        <x:v>Ativo</x:v>
      </x:c>
    </x:row>
    <x:row r="16">
      <x:c r="A16" s="66" t="n">
        <x:v>13</x:v>
      </x:c>
      <x:c r="B16" s="69" t="n">
        <x:f>IF($A16&lt;='Premissas'!$B$11,EDATE('Premissas'!$B$13,$A16-1),"")</x:f>
        <x:v>46631</x:v>
      </x:c>
      <x:c r="C16" s="72" t="n">
        <x:f>IF($A16&lt;='Premissas'!$B$11,'Premissas'!$B$8*(1+'Premissas'!$B$10)^($A16-1),"")</x:f>
        <x:v>102.42657679454032</x:v>
      </x:c>
      <x:c r="D16" s="75" t="n">
        <x:f>IF($A16&lt;='Premissas'!$B$11,IF($A16=1,'Premissas'!$B$6/'Premissas'!$B$8,K15),"")</x:f>
        <x:v>234.11298596822465</x:v>
      </x:c>
      <x:c r="E16" s="78" t="n">
        <x:f>IF($A16&lt;='Premissas'!$B$11,'Premissas'!$B$7,"")</x:f>
        <x:v>1000</x:v>
      </x:c>
      <x:c r="F16" s="78" t="n">
        <x:f>IF($A16&lt;='Premissas'!$B$11,D16*C16*'Premissas'!$B$9,"")</x:f>
        <x:v>191.83513388698802</x:v>
      </x:c>
      <x:c r="G16" s="78" t="n">
        <x:f>IF($A16&lt;='Premissas'!$B$11,D16*C16*'Premissas'!$B$14,"")</x:f>
        <x:v>0</x:v>
      </x:c>
      <x:c r="H16" s="78" t="n">
        <x:f>IF($A16&lt;='Premissas'!$B$11,MAX(F16-G16,0),"")</x:f>
        <x:v>191.83513388698802</x:v>
      </x:c>
      <x:c r="I16" s="78" t="n">
        <x:f>IF($A16&lt;='Premissas'!$B$11,IF('Premissas'!$B$12="Sim",H16,0),"")</x:f>
        <x:v>191.83513388698802</x:v>
      </x:c>
      <x:c r="J16" s="75" t="n">
        <x:f>IF($A16&lt;='Premissas'!$B$11,(E16+I16)/C16,"")</x:f>
        <x:v>11.635994984755916</x:v>
      </x:c>
      <x:c r="K16" s="75" t="n">
        <x:f>IF($A16&lt;='Premissas'!$B$11,D16+J16,"")</x:f>
        <x:v>245.74898095298056</x:v>
      </x:c>
      <x:c r="L16" s="78" t="n">
        <x:f>IF($A16&lt;='Premissas'!$B$11,K16*C16,"")</x:f>
        <x:v>25171.226869760492</x:v>
      </x:c>
      <x:c r="M16" s="78" t="n">
        <x:f>IF($A16&lt;='Premissas'!$B$11,IF($A16=1,'Premissas'!$B$6+E16,M15+E16),"")</x:f>
        <x:v>23000</x:v>
      </x:c>
      <x:c r="N16" s="78" t="n">
        <x:f>IF($A16&lt;='Premissas'!$B$11,IF($A16=1,H16,N15+H16),"")</x:f>
        <x:v>1753.6496194089555</x:v>
      </x:c>
      <x:c r="O16" s="78" t="n">
        <x:f>IF($A16&lt;='Premissas'!$B$11,IF($A16=1,IF('Premissas'!$B$12="Sim",0,H16),O15+IF('Premissas'!$B$12="Sim",0,H16)),"")</x:f>
        <x:v>0</x:v>
      </x:c>
      <x:c r="P16" s="81" t="n">
        <x:f>IF($A16&lt;='Premissas'!$B$11,IF(M16=0,0,(L16+O16)/M16-1),"")</x:f>
        <x:v>0.09440116825045619</x:v>
      </x:c>
      <x:c r="Q16" s="84" t="str">
        <x:f>IF($A16&lt;='Premissas'!$B$11,"Ativo","Fora")</x:f>
        <x:v>Ativo</x:v>
      </x:c>
    </x:row>
    <x:row r="17">
      <x:c r="A17" s="66" t="n">
        <x:v>14</x:v>
      </x:c>
      <x:c r="B17" s="69" t="n">
        <x:f>IF($A17&lt;='Premissas'!$B$11,EDATE('Premissas'!$B$13,$A17-1),"")</x:f>
        <x:v>46661</x:v>
      </x:c>
      <x:c r="C17" s="72" t="n">
        <x:f>IF($A17&lt;='Premissas'!$B$11,'Premissas'!$B$8*(1+'Premissas'!$B$10)^($A17-1),"")</x:f>
        <x:v>102.63142994812941</x:v>
      </x:c>
      <x:c r="D17" s="75" t="n">
        <x:f>IF($A17&lt;='Premissas'!$B$11,IF($A17=1,'Premissas'!$B$6/'Premissas'!$B$8,K16),"")</x:f>
        <x:v>245.74898095298056</x:v>
      </x:c>
      <x:c r="E17" s="78" t="n">
        <x:f>IF($A17&lt;='Premissas'!$B$11,'Premissas'!$B$7,"")</x:f>
        <x:v>1000</x:v>
      </x:c>
      <x:c r="F17" s="78" t="n">
        <x:f>IF($A17&lt;='Premissas'!$B$11,D17*C17*'Premissas'!$B$9,"")</x:f>
        <x:v>201.77255458800013</x:v>
      </x:c>
      <x:c r="G17" s="78" t="n">
        <x:f>IF($A17&lt;='Premissas'!$B$11,D17*C17*'Premissas'!$B$14,"")</x:f>
        <x:v>0</x:v>
      </x:c>
      <x:c r="H17" s="78" t="n">
        <x:f>IF($A17&lt;='Premissas'!$B$11,MAX(F17-G17,0),"")</x:f>
        <x:v>201.77255458800013</x:v>
      </x:c>
      <x:c r="I17" s="78" t="n">
        <x:f>IF($A17&lt;='Premissas'!$B$11,IF('Premissas'!$B$12="Sim",H17,0),"")</x:f>
        <x:v>201.77255458800013</x:v>
      </x:c>
      <x:c r="J17" s="75" t="n">
        <x:f>IF($A17&lt;='Premissas'!$B$11,(E17+I17)/C17,"")</x:f>
        <x:v>11.7095957368555</x:v>
      </x:c>
      <x:c r="K17" s="75" t="n">
        <x:f>IF($A17&lt;='Premissas'!$B$11,D17+J17,"")</x:f>
        <x:v>257.45857668983604</x:v>
      </x:c>
      <x:c r="L17" s="78" t="n">
        <x:f>IF($A17&lt;='Premissas'!$B$11,K17*C17,"")</x:f>
        <x:v>26423.34187808801</x:v>
      </x:c>
      <x:c r="M17" s="78" t="n">
        <x:f>IF($A17&lt;='Premissas'!$B$11,IF($A17=1,'Premissas'!$B$6+E17,M16+E17),"")</x:f>
        <x:v>24000</x:v>
      </x:c>
      <x:c r="N17" s="78" t="n">
        <x:f>IF($A17&lt;='Premissas'!$B$11,IF($A17=1,H17,N16+H17),"")</x:f>
        <x:v>1955.4221739969555</x:v>
      </x:c>
      <x:c r="O17" s="78" t="n">
        <x:f>IF($A17&lt;='Premissas'!$B$11,IF($A17=1,IF('Premissas'!$B$12="Sim",0,H17),O16+IF('Premissas'!$B$12="Sim",0,H17)),"")</x:f>
        <x:v>0</x:v>
      </x:c>
      <x:c r="P17" s="81" t="n">
        <x:f>IF($A17&lt;='Premissas'!$B$11,IF(M17=0,0,(L17+O17)/M17-1),"")</x:f>
        <x:v>0.10097257825366701</x:v>
      </x:c>
      <x:c r="Q17" s="84" t="str">
        <x:f>IF($A17&lt;='Premissas'!$B$11,"Ativo","Fora")</x:f>
        <x:v>Ativo</x:v>
      </x:c>
    </x:row>
    <x:row r="18">
      <x:c r="A18" s="66" t="n">
        <x:v>15</x:v>
      </x:c>
      <x:c r="B18" s="69" t="n">
        <x:f>IF($A18&lt;='Premissas'!$B$11,EDATE('Premissas'!$B$13,$A18-1),"")</x:f>
        <x:v>46692</x:v>
      </x:c>
      <x:c r="C18" s="72" t="n">
        <x:f>IF($A18&lt;='Premissas'!$B$11,'Premissas'!$B$8*(1+'Premissas'!$B$10)^($A18-1),"")</x:f>
        <x:v>102.83669280802567</x:v>
      </x:c>
      <x:c r="D18" s="75" t="n">
        <x:f>IF($A18&lt;='Premissas'!$B$11,IF($A18=1,'Premissas'!$B$6/'Premissas'!$B$8,K17),"")</x:f>
        <x:v>257.45857668983604</x:v>
      </x:c>
      <x:c r="E18" s="78" t="n">
        <x:f>IF($A18&lt;='Premissas'!$B$11,'Premissas'!$B$7,"")</x:f>
        <x:v>1000</x:v>
      </x:c>
      <x:c r="F18" s="78" t="n">
        <x:f>IF($A18&lt;='Premissas'!$B$11,D18*C18*'Premissas'!$B$9,"")</x:f>
        <x:v>211.80950849475352</x:v>
      </x:c>
      <x:c r="G18" s="78" t="n">
        <x:f>IF($A18&lt;='Premissas'!$B$11,D18*C18*'Premissas'!$B$14,"")</x:f>
        <x:v>0</x:v>
      </x:c>
      <x:c r="H18" s="78" t="n">
        <x:f>IF($A18&lt;='Premissas'!$B$11,MAX(F18-G18,0),"")</x:f>
        <x:v>211.80950849475352</x:v>
      </x:c>
      <x:c r="I18" s="78" t="n">
        <x:f>IF($A18&lt;='Premissas'!$B$11,IF('Premissas'!$B$12="Sim",H18,0),"")</x:f>
        <x:v>211.80950849475352</x:v>
      </x:c>
      <x:c r="J18" s="75" t="n">
        <x:f>IF($A18&lt;='Premissas'!$B$11,(E18+I18)/C18,"")</x:f>
        <x:v>11.783824191594194</x:v>
      </x:c>
      <x:c r="K18" s="75" t="n">
        <x:f>IF($A18&lt;='Premissas'!$B$11,D18+J18,"")</x:f>
        <x:v>269.2424008814302</x:v>
      </x:c>
      <x:c r="L18" s="78" t="n">
        <x:f>IF($A18&lt;='Premissas'!$B$11,K18*C18,"")</x:f>
        <x:v>27687.99807033894</x:v>
      </x:c>
      <x:c r="M18" s="78" t="n">
        <x:f>IF($A18&lt;='Premissas'!$B$11,IF($A18=1,'Premissas'!$B$6+E18,M17+E18),"")</x:f>
        <x:v>25000</x:v>
      </x:c>
      <x:c r="N18" s="78" t="n">
        <x:f>IF($A18&lt;='Premissas'!$B$11,IF($A18=1,H18,N17+H18),"")</x:f>
        <x:v>2167.231682491709</x:v>
      </x:c>
      <x:c r="O18" s="78" t="n">
        <x:f>IF($A18&lt;='Premissas'!$B$11,IF($A18=1,IF('Premissas'!$B$12="Sim",0,H18),O17+IF('Premissas'!$B$12="Sim",0,H18)),"")</x:f>
        <x:v>0</x:v>
      </x:c>
      <x:c r="P18" s="81" t="n">
        <x:f>IF($A18&lt;='Premissas'!$B$11,IF(M18=0,0,(L18+O18)/M18-1),"")</x:f>
        <x:v>0.10751992281355771</x:v>
      </x:c>
      <x:c r="Q18" s="84" t="str">
        <x:f>IF($A18&lt;='Premissas'!$B$11,"Ativo","Fora")</x:f>
        <x:v>Ativo</x:v>
      </x:c>
    </x:row>
    <x:row r="19">
      <x:c r="A19" s="66" t="n">
        <x:v>16</x:v>
      </x:c>
      <x:c r="B19" s="69" t="n">
        <x:f>IF($A19&lt;='Premissas'!$B$11,EDATE('Premissas'!$B$13,$A19-1),"")</x:f>
        <x:v>46722</x:v>
      </x:c>
      <x:c r="C19" s="72" t="n">
        <x:f>IF($A19&lt;='Premissas'!$B$11,'Premissas'!$B$8*(1+'Premissas'!$B$10)^($A19-1),"")</x:f>
        <x:v>103.04236619364171</x:v>
      </x:c>
      <x:c r="D19" s="75" t="n">
        <x:f>IF($A19&lt;='Premissas'!$B$11,IF($A19=1,'Premissas'!$B$6/'Premissas'!$B$8,K18),"")</x:f>
        <x:v>269.2424008814302</x:v>
      </x:c>
      <x:c r="E19" s="78" t="n">
        <x:f>IF($A19&lt;='Premissas'!$B$11,'Premissas'!$B$7,"")</x:f>
        <x:v>1000</x:v>
      </x:c>
      <x:c r="F19" s="78" t="n">
        <x:f>IF($A19&lt;='Premissas'!$B$11,D19*C19*'Premissas'!$B$9,"")</x:f>
        <x:v>221.94699253183694</x:v>
      </x:c>
      <x:c r="G19" s="78" t="n">
        <x:f>IF($A19&lt;='Premissas'!$B$11,D19*C19*'Premissas'!$B$14,"")</x:f>
        <x:v>0</x:v>
      </x:c>
      <x:c r="H19" s="78" t="n">
        <x:f>IF($A19&lt;='Premissas'!$B$11,MAX(F19-G19,0),"")</x:f>
        <x:v>221.94699253183694</x:v>
      </x:c>
      <x:c r="I19" s="78" t="n">
        <x:f>IF($A19&lt;='Premissas'!$B$11,IF('Premissas'!$B$12="Sim",H19,0),"")</x:f>
        <x:v>221.94699253183694</x:v>
      </x:c>
      <x:c r="J19" s="75" t="n">
        <x:f>IF($A19&lt;='Premissas'!$B$11,(E19+I19)/C19,"")</x:f>
        <x:v>11.85868529295514</x:v>
      </x:c>
      <x:c r="K19" s="75" t="n">
        <x:f>IF($A19&lt;='Premissas'!$B$11,D19+J19,"")</x:f>
        <x:v>281.1010861743854</x:v>
      </x:c>
      <x:c r="L19" s="78" t="n">
        <x:f>IF($A19&lt;='Premissas'!$B$11,K19*C19,"")</x:f>
        <x:v>28965.321059011454</x:v>
      </x:c>
      <x:c r="M19" s="78" t="n">
        <x:f>IF($A19&lt;='Premissas'!$B$11,IF($A19=1,'Premissas'!$B$6+E19,M18+E19),"")</x:f>
        <x:v>26000</x:v>
      </x:c>
      <x:c r="N19" s="78" t="n">
        <x:f>IF($A19&lt;='Premissas'!$B$11,IF($A19=1,H19,N18+H19),"")</x:f>
        <x:v>2389.178675023546</x:v>
      </x:c>
      <x:c r="O19" s="78" t="n">
        <x:f>IF($A19&lt;='Premissas'!$B$11,IF($A19=1,IF('Premissas'!$B$12="Sim",0,H19),O18+IF('Premissas'!$B$12="Sim",0,H19)),"")</x:f>
        <x:v>0</x:v>
      </x:c>
      <x:c r="P19" s="81" t="n">
        <x:f>IF($A19&lt;='Premissas'!$B$11,IF(M19=0,0,(L19+O19)/M19-1),"")</x:f>
        <x:v>0.11405080996197903</x:v>
      </x:c>
      <x:c r="Q19" s="84" t="str">
        <x:f>IF($A19&lt;='Premissas'!$B$11,"Ativo","Fora")</x:f>
        <x:v>Ativo</x:v>
      </x:c>
    </x:row>
    <x:row r="20">
      <x:c r="A20" s="66" t="n">
        <x:v>17</x:v>
      </x:c>
      <x:c r="B20" s="69" t="n">
        <x:f>IF($A20&lt;='Premissas'!$B$11,EDATE('Premissas'!$B$13,$A20-1),"")</x:f>
        <x:v>46753</x:v>
      </x:c>
      <x:c r="C20" s="72" t="n">
        <x:f>IF($A20&lt;='Premissas'!$B$11,'Premissas'!$B$8*(1+'Premissas'!$B$10)^($A20-1),"")</x:f>
        <x:v>103.24845092602901</x:v>
      </x:c>
      <x:c r="D20" s="75" t="n">
        <x:f>IF($A20&lt;='Premissas'!$B$11,IF($A20=1,'Premissas'!$B$6/'Premissas'!$B$8,K19),"")</x:f>
        <x:v>281.1010861743854</x:v>
      </x:c>
      <x:c r="E20" s="78" t="n">
        <x:f>IF($A20&lt;='Premissas'!$B$11,'Premissas'!$B$7,"")</x:f>
        <x:v>1000</x:v>
      </x:c>
      <x:c r="F20" s="78" t="n">
        <x:f>IF($A20&lt;='Premissas'!$B$11,D20*C20*'Premissas'!$B$9,"")</x:f>
        <x:v>232.18601360903585</x:v>
      </x:c>
      <x:c r="G20" s="78" t="n">
        <x:f>IF($A20&lt;='Premissas'!$B$11,D20*C20*'Premissas'!$B$14,"")</x:f>
        <x:v>0</x:v>
      </x:c>
      <x:c r="H20" s="78" t="n">
        <x:f>IF($A20&lt;='Premissas'!$B$11,MAX(F20-G20,0),"")</x:f>
        <x:v>232.18601360903585</x:v>
      </x:c>
      <x:c r="I20" s="78" t="n">
        <x:f>IF($A20&lt;='Premissas'!$B$11,IF('Premissas'!$B$12="Sim",H20,0),"")</x:f>
        <x:v>232.18601360903585</x:v>
      </x:c>
      <x:c r="J20" s="75" t="n">
        <x:f>IF($A20&lt;='Premissas'!$B$11,(E20+I20)/C20,"")</x:f>
        <x:v>11.934184024628314</x:v>
      </x:c>
      <x:c r="K20" s="75" t="n">
        <x:f>IF($A20&lt;='Premissas'!$B$11,D20+J20,"")</x:f>
        <x:v>293.0352701990137</x:v>
      </x:c>
      <x:c r="L20" s="78" t="n">
        <x:f>IF($A20&lt;='Premissas'!$B$11,K20*C20,"")</x:f>
        <x:v>30255.43771473852</x:v>
      </x:c>
      <x:c r="M20" s="78" t="n">
        <x:f>IF($A20&lt;='Premissas'!$B$11,IF($A20=1,'Premissas'!$B$6+E20,M19+E20),"")</x:f>
        <x:v>27000</x:v>
      </x:c>
      <x:c r="N20" s="78" t="n">
        <x:f>IF($A20&lt;='Premissas'!$B$11,IF($A20=1,H20,N19+H20),"")</x:f>
        <x:v>2621.364688632582</x:v>
      </x:c>
      <x:c r="O20" s="78" t="n">
        <x:f>IF($A20&lt;='Premissas'!$B$11,IF($A20=1,IF('Premissas'!$B$12="Sim",0,H20),O19+IF('Premissas'!$B$12="Sim",0,H20)),"")</x:f>
        <x:v>0</x:v>
      </x:c>
      <x:c r="P20" s="81" t="n">
        <x:f>IF($A20&lt;='Premissas'!$B$11,IF(M20=0,0,(L20+O20)/M20-1),"")</x:f>
        <x:v>0.1205717672125377</x:v>
      </x:c>
      <x:c r="Q20" s="84" t="str">
        <x:f>IF($A20&lt;='Premissas'!$B$11,"Ativo","Fora")</x:f>
        <x:v>Ativo</x:v>
      </x:c>
    </x:row>
    <x:row r="21">
      <x:c r="A21" s="66" t="n">
        <x:v>18</x:v>
      </x:c>
      <x:c r="B21" s="69" t="n">
        <x:f>IF($A21&lt;='Premissas'!$B$11,EDATE('Premissas'!$B$13,$A21-1),"")</x:f>
        <x:v>46784</x:v>
      </x:c>
      <x:c r="C21" s="72" t="n">
        <x:f>IF($A21&lt;='Premissas'!$B$11,'Premissas'!$B$8*(1+'Premissas'!$B$10)^($A21-1),"")</x:f>
        <x:v>103.45494782788106</x:v>
      </x:c>
      <x:c r="D21" s="75" t="n">
        <x:f>IF($A21&lt;='Premissas'!$B$11,IF($A21=1,'Premissas'!$B$6/'Premissas'!$B$8,K20),"")</x:f>
        <x:v>293.0352701990137</x:v>
      </x:c>
      <x:c r="E21" s="78" t="n">
        <x:f>IF($A21&lt;='Premissas'!$B$11,'Premissas'!$B$7,"")</x:f>
        <x:v>1000</x:v>
      </x:c>
      <x:c r="F21" s="78" t="n">
        <x:f>IF($A21&lt;='Premissas'!$B$11,D21*C21*'Premissas'!$B$9,"")</x:f>
        <x:v>242.52758872134396</x:v>
      </x:c>
      <x:c r="G21" s="78" t="n">
        <x:f>IF($A21&lt;='Premissas'!$B$11,D21*C21*'Premissas'!$B$14,"")</x:f>
        <x:v>0</x:v>
      </x:c>
      <x:c r="H21" s="78" t="n">
        <x:f>IF($A21&lt;='Premissas'!$B$11,MAX(F21-G21,0),"")</x:f>
        <x:v>242.52758872134396</x:v>
      </x:c>
      <x:c r="I21" s="78" t="n">
        <x:f>IF($A21&lt;='Premissas'!$B$11,IF('Premissas'!$B$12="Sim",H21,0),"")</x:f>
        <x:v>242.52758872134396</x:v>
      </x:c>
      <x:c r="J21" s="75" t="n">
        <x:f>IF($A21&lt;='Premissas'!$B$11,(E21+I21)/C21,"")</x:f>
        <x:v>12.010325410327871</x:v>
      </x:c>
      <x:c r="K21" s="75" t="n">
        <x:f>IF($A21&lt;='Premissas'!$B$11,D21+J21,"")</x:f>
        <x:v>305.0455956093416</x:v>
      </x:c>
      <x:c r="L21" s="78" t="n">
        <x:f>IF($A21&lt;='Premissas'!$B$11,K21*C21,"")</x:f>
        <x:v>31558.476178889337</x:v>
      </x:c>
      <x:c r="M21" s="78" t="n">
        <x:f>IF($A21&lt;='Premissas'!$B$11,IF($A21=1,'Premissas'!$B$6+E21,M20+E21),"")</x:f>
        <x:v>28000</x:v>
      </x:c>
      <x:c r="N21" s="78" t="n">
        <x:f>IF($A21&lt;='Premissas'!$B$11,IF($A21=1,H21,N20+H21),"")</x:f>
        <x:v>2863.8922773539257</x:v>
      </x:c>
      <x:c r="O21" s="78" t="n">
        <x:f>IF($A21&lt;='Premissas'!$B$11,IF($A21=1,IF('Premissas'!$B$12="Sim",0,H21),O20+IF('Premissas'!$B$12="Sim",0,H21)),"")</x:f>
        <x:v>0</x:v>
      </x:c>
      <x:c r="P21" s="81" t="n">
        <x:f>IF($A21&lt;='Premissas'!$B$11,IF(M21=0,0,(L21+O21)/M21-1),"")</x:f>
        <x:v>0.1270884349603334</x:v>
      </x:c>
      <x:c r="Q21" s="84" t="str">
        <x:f>IF($A21&lt;='Premissas'!$B$11,"Ativo","Fora")</x:f>
        <x:v>Ativo</x:v>
      </x:c>
    </x:row>
    <x:row r="22">
      <x:c r="A22" s="66" t="n">
        <x:v>19</x:v>
      </x:c>
      <x:c r="B22" s="69" t="n">
        <x:f>IF($A22&lt;='Premissas'!$B$11,EDATE('Premissas'!$B$13,$A22-1),"")</x:f>
        <x:v>46813</x:v>
      </x:c>
      <x:c r="C22" s="72" t="n">
        <x:f>IF($A22&lt;='Premissas'!$B$11,'Premissas'!$B$8*(1+'Premissas'!$B$10)^($A22-1),"")</x:f>
        <x:v>103.66185772353683</x:v>
      </x:c>
      <x:c r="D22" s="75" t="n">
        <x:f>IF($A22&lt;='Premissas'!$B$11,IF($A22=1,'Premissas'!$B$6/'Premissas'!$B$8,K21),"")</x:f>
        <x:v>305.0455956093416</x:v>
      </x:c>
      <x:c r="E22" s="78" t="n">
        <x:f>IF($A22&lt;='Premissas'!$B$11,'Premissas'!$B$7,"")</x:f>
        <x:v>1000</x:v>
      </x:c>
      <x:c r="F22" s="78" t="n">
        <x:f>IF($A22&lt;='Premissas'!$B$11,D22*C22*'Premissas'!$B$9,"")</x:f>
        <x:v>252.97274504997696</x:v>
      </x:c>
      <x:c r="G22" s="78" t="n">
        <x:f>IF($A22&lt;='Premissas'!$B$11,D22*C22*'Premissas'!$B$14,"")</x:f>
        <x:v>0</x:v>
      </x:c>
      <x:c r="H22" s="78" t="n">
        <x:f>IF($A22&lt;='Premissas'!$B$11,MAX(F22-G22,0),"")</x:f>
        <x:v>252.97274504997696</x:v>
      </x:c>
      <x:c r="I22" s="78" t="n">
        <x:f>IF($A22&lt;='Premissas'!$B$11,IF('Premissas'!$B$12="Sim",H22,0),"")</x:f>
        <x:v>252.97274504997696</x:v>
      </x:c>
      <x:c r="J22" s="75" t="n">
        <x:f>IF($A22&lt;='Premissas'!$B$11,(E22+I22)/C22,"")</x:f>
        <x:v>12.087114514112018</x:v>
      </x:c>
      <x:c r="K22" s="75" t="n">
        <x:f>IF($A22&lt;='Premissas'!$B$11,D22+J22,"")</x:f>
        <x:v>317.13271012345365</x:v>
      </x:c>
      <x:c r="L22" s="78" t="n">
        <x:f>IF($A22&lt;='Premissas'!$B$11,K22*C22,"")</x:f>
        <x:v>32874.5658762971</x:v>
      </x:c>
      <x:c r="M22" s="78" t="n">
        <x:f>IF($A22&lt;='Premissas'!$B$11,IF($A22=1,'Premissas'!$B$6+E22,M21+E22),"")</x:f>
        <x:v>29000</x:v>
      </x:c>
      <x:c r="N22" s="78" t="n">
        <x:f>IF($A22&lt;='Premissas'!$B$11,IF($A22=1,H22,N21+H22),"")</x:f>
        <x:v>3116.8650224039025</x:v>
      </x:c>
      <x:c r="O22" s="78" t="n">
        <x:f>IF($A22&lt;='Premissas'!$B$11,IF($A22=1,IF('Premissas'!$B$12="Sim",0,H22),O21+IF('Premissas'!$B$12="Sim",0,H22)),"")</x:f>
        <x:v>0</x:v>
      </x:c>
      <x:c r="P22" s="81" t="n">
        <x:f>IF($A22&lt;='Premissas'!$B$11,IF(M22=0,0,(L22+O22)/M22-1),"")</x:f>
        <x:v>0.13360571987231373</x:v>
      </x:c>
      <x:c r="Q22" s="84" t="str">
        <x:f>IF($A22&lt;='Premissas'!$B$11,"Ativo","Fora")</x:f>
        <x:v>Ativo</x:v>
      </x:c>
    </x:row>
    <x:row r="23">
      <x:c r="A23" s="66" t="n">
        <x:v>20</x:v>
      </x:c>
      <x:c r="B23" s="69" t="n">
        <x:f>IF($A23&lt;='Premissas'!$B$11,EDATE('Premissas'!$B$13,$A23-1),"")</x:f>
        <x:v>46844</x:v>
      </x:c>
      <x:c r="C23" s="72" t="n">
        <x:f>IF($A23&lt;='Premissas'!$B$11,'Premissas'!$B$8*(1+'Premissas'!$B$10)^($A23-1),"")</x:f>
        <x:v>103.86918143898389</x:v>
      </x:c>
      <x:c r="D23" s="75" t="n">
        <x:f>IF($A23&lt;='Premissas'!$B$11,IF($A23=1,'Premissas'!$B$6/'Premissas'!$B$8,K22),"")</x:f>
        <x:v>317.13271012345365</x:v>
      </x:c>
      <x:c r="E23" s="78" t="n">
        <x:f>IF($A23&lt;='Premissas'!$B$11,'Premissas'!$B$7,"")</x:f>
        <x:v>1000</x:v>
      </x:c>
      <x:c r="F23" s="78" t="n">
        <x:f>IF($A23&lt;='Premissas'!$B$11,D23*C23*'Premissas'!$B$9,"")</x:f>
        <x:v>263.52252006439755</x:v>
      </x:c>
      <x:c r="G23" s="78" t="n">
        <x:f>IF($A23&lt;='Premissas'!$B$11,D23*C23*'Premissas'!$B$14,"")</x:f>
        <x:v>0</x:v>
      </x:c>
      <x:c r="H23" s="78" t="n">
        <x:f>IF($A23&lt;='Premissas'!$B$11,MAX(F23-G23,0),"")</x:f>
        <x:v>263.52252006439755</x:v>
      </x:c>
      <x:c r="I23" s="78" t="n">
        <x:f>IF($A23&lt;='Premissas'!$B$11,IF('Premissas'!$B$12="Sim",H23,0),"")</x:f>
        <x:v>263.52252006439755</x:v>
      </x:c>
      <x:c r="J23" s="75" t="n">
        <x:f>IF($A23&lt;='Premissas'!$B$11,(E23+I23)/C23,"")</x:f>
        <x:v>12.164556440705482</x:v>
      </x:c>
      <x:c r="K23" s="75" t="n">
        <x:f>IF($A23&lt;='Premissas'!$B$11,D23+J23,"")</x:f>
        <x:v>329.29726656415914</x:v>
      </x:c>
      <x:c r="L23" s="78" t="n">
        <x:f>IF($A23&lt;='Premissas'!$B$11,K23*C23,"")</x:f>
        <x:v>34203.83752811409</x:v>
      </x:c>
      <x:c r="M23" s="78" t="n">
        <x:f>IF($A23&lt;='Premissas'!$B$11,IF($A23=1,'Premissas'!$B$6+E23,M22+E23),"")</x:f>
        <x:v>30000</x:v>
      </x:c>
      <x:c r="N23" s="78" t="n">
        <x:f>IF($A23&lt;='Premissas'!$B$11,IF($A23=1,H23,N22+H23),"")</x:f>
        <x:v>3380.3875424683</x:v>
      </x:c>
      <x:c r="O23" s="78" t="n">
        <x:f>IF($A23&lt;='Premissas'!$B$11,IF($A23=1,IF('Premissas'!$B$12="Sim",0,H23),O22+IF('Premissas'!$B$12="Sim",0,H23)),"")</x:f>
        <x:v>0</x:v>
      </x:c>
      <x:c r="P23" s="81" t="n">
        <x:f>IF($A23&lt;='Premissas'!$B$11,IF(M23=0,0,(L23+O23)/M23-1),"")</x:f>
        <x:v>0.14012791760380305</x:v>
      </x:c>
      <x:c r="Q23" s="84" t="str">
        <x:f>IF($A23&lt;='Premissas'!$B$11,"Ativo","Fora")</x:f>
        <x:v>Ativo</x:v>
      </x:c>
    </x:row>
    <x:row r="24">
      <x:c r="A24" s="66" t="n">
        <x:v>21</x:v>
      </x:c>
      <x:c r="B24" s="69" t="n">
        <x:f>IF($A24&lt;='Premissas'!$B$11,EDATE('Premissas'!$B$13,$A24-1),"")</x:f>
        <x:v>46874</x:v>
      </x:c>
      <x:c r="C24" s="72" t="n">
        <x:f>IF($A24&lt;='Premissas'!$B$11,'Premissas'!$B$8*(1+'Premissas'!$B$10)^($A24-1),"")</x:f>
        <x:v>104.07691980186186</x:v>
      </x:c>
      <x:c r="D24" s="75" t="n">
        <x:f>IF($A24&lt;='Premissas'!$B$11,IF($A24=1,'Premissas'!$B$6/'Premissas'!$B$8,K23),"")</x:f>
        <x:v>329.29726656415914</x:v>
      </x:c>
      <x:c r="E24" s="78" t="n">
        <x:f>IF($A24&lt;='Premissas'!$B$11,'Premissas'!$B$7,"")</x:f>
        <x:v>1000</x:v>
      </x:c>
      <x:c r="F24" s="78" t="n">
        <x:f>IF($A24&lt;='Premissas'!$B$11,D24*C24*'Premissas'!$B$9,"")</x:f>
        <x:v>274.17796162536257</x:v>
      </x:c>
      <x:c r="G24" s="78" t="n">
        <x:f>IF($A24&lt;='Premissas'!$B$11,D24*C24*'Premissas'!$B$14,"")</x:f>
        <x:v>0</x:v>
      </x:c>
      <x:c r="H24" s="78" t="n">
        <x:f>IF($A24&lt;='Premissas'!$B$11,MAX(F24-G24,0),"")</x:f>
        <x:v>274.17796162536257</x:v>
      </x:c>
      <x:c r="I24" s="78" t="n">
        <x:f>IF($A24&lt;='Premissas'!$B$11,IF('Premissas'!$B$12="Sim",H24,0),"")</x:f>
        <x:v>274.17796162536257</x:v>
      </x:c>
      <x:c r="J24" s="75" t="n">
        <x:f>IF($A24&lt;='Premissas'!$B$11,(E24+I24)/C24,"")</x:f>
        <x:v>12.2426563358245</x:v>
      </x:c>
      <x:c r="K24" s="75" t="n">
        <x:f>IF($A24&lt;='Premissas'!$B$11,D24+J24,"")</x:f>
        <x:v>341.53992289998365</x:v>
      </x:c>
      <x:c r="L24" s="78" t="n">
        <x:f>IF($A24&lt;='Premissas'!$B$11,K24*C24,"")</x:f>
        <x:v>35546.423164795684</x:v>
      </x:c>
      <x:c r="M24" s="78" t="n">
        <x:f>IF($A24&lt;='Premissas'!$B$11,IF($A24=1,'Premissas'!$B$6+E24,M23+E24),"")</x:f>
        <x:v>31000</x:v>
      </x:c>
      <x:c r="N24" s="78" t="n">
        <x:f>IF($A24&lt;='Premissas'!$B$11,IF($A24=1,H24,N23+H24),"")</x:f>
        <x:v>3654.5655040936626</x:v>
      </x:c>
      <x:c r="O24" s="78" t="n">
        <x:f>IF($A24&lt;='Premissas'!$B$11,IF($A24=1,IF('Premissas'!$B$12="Sim",0,H24),O23+IF('Premissas'!$B$12="Sim",0,H24)),"")</x:f>
        <x:v>0</x:v>
      </x:c>
      <x:c r="P24" s="81" t="n">
        <x:f>IF($A24&lt;='Premissas'!$B$11,IF(M24=0,0,(L24+O24)/M24-1),"")</x:f>
        <x:v>0.14665881176760265</x:v>
      </x:c>
      <x:c r="Q24" s="84" t="str">
        <x:f>IF($A24&lt;='Premissas'!$B$11,"Ativo","Fora")</x:f>
        <x:v>Ativo</x:v>
      </x:c>
    </x:row>
    <x:row r="25">
      <x:c r="A25" s="66" t="n">
        <x:v>22</x:v>
      </x:c>
      <x:c r="B25" s="69" t="n">
        <x:f>IF($A25&lt;='Premissas'!$B$11,EDATE('Premissas'!$B$13,$A25-1),"")</x:f>
        <x:v>46905</x:v>
      </x:c>
      <x:c r="C25" s="72" t="n">
        <x:f>IF($A25&lt;='Premissas'!$B$11,'Premissas'!$B$8*(1+'Premissas'!$B$10)^($A25-1),"")</x:f>
        <x:v>104.2850736414656</x:v>
      </x:c>
      <x:c r="D25" s="75" t="n">
        <x:f>IF($A25&lt;='Premissas'!$B$11,IF($A25=1,'Premissas'!$B$6/'Premissas'!$B$8,K24),"")</x:f>
        <x:v>341.53992289998365</x:v>
      </x:c>
      <x:c r="E25" s="78" t="n">
        <x:f>IF($A25&lt;='Premissas'!$B$11,'Premissas'!$B$7,"")</x:f>
        <x:v>1000</x:v>
      </x:c>
      <x:c r="F25" s="78" t="n">
        <x:f>IF($A25&lt;='Premissas'!$B$11,D25*C25*'Premissas'!$B$9,"")</x:f>
        <x:v>284.9401280890022</x:v>
      </x:c>
      <x:c r="G25" s="78" t="n">
        <x:f>IF($A25&lt;='Premissas'!$B$11,D25*C25*'Premissas'!$B$14,"")</x:f>
        <x:v>0</x:v>
      </x:c>
      <x:c r="H25" s="78" t="n">
        <x:f>IF($A25&lt;='Premissas'!$B$11,MAX(F25-G25,0),"")</x:f>
        <x:v>284.9401280890022</x:v>
      </x:c>
      <x:c r="I25" s="78" t="n">
        <x:f>IF($A25&lt;='Premissas'!$B$11,IF('Premissas'!$B$12="Sim",H25,0),"")</x:f>
        <x:v>284.9401280890022</x:v>
      </x:c>
      <x:c r="J25" s="75" t="n">
        <x:f>IF($A25&lt;='Premissas'!$B$11,(E25+I25)/C25,"")</x:f>
        <x:v>12.321419386504486</x:v>
      </x:c>
      <x:c r="K25" s="75" t="n">
        <x:f>IF($A25&lt;='Premissas'!$B$11,D25+J25,"")</x:f>
        <x:v>353.86134228648814</x:v>
      </x:c>
      <x:c r="L25" s="78" t="n">
        <x:f>IF($A25&lt;='Premissas'!$B$11,K25*C25,"")</x:f>
        <x:v>36902.45613921428</x:v>
      </x:c>
      <x:c r="M25" s="78" t="n">
        <x:f>IF($A25&lt;='Premissas'!$B$11,IF($A25=1,'Premissas'!$B$6+E25,M24+E25),"")</x:f>
        <x:v>32000</x:v>
      </x:c>
      <x:c r="N25" s="78" t="n">
        <x:f>IF($A25&lt;='Premissas'!$B$11,IF($A25=1,H25,N24+H25),"")</x:f>
        <x:v>3939.505632182665</x:v>
      </x:c>
      <x:c r="O25" s="78" t="n">
        <x:f>IF($A25&lt;='Premissas'!$B$11,IF($A25=1,IF('Premissas'!$B$12="Sim",0,H25),O24+IF('Premissas'!$B$12="Sim",0,H25)),"")</x:f>
        <x:v>0</x:v>
      </x:c>
      <x:c r="P25" s="81" t="n">
        <x:f>IF($A25&lt;='Premissas'!$B$11,IF(M25=0,0,(L25+O25)/M25-1),"")</x:f>
        <x:v>0.15320175435044625</x:v>
      </x:c>
      <x:c r="Q25" s="84" t="str">
        <x:f>IF($A25&lt;='Premissas'!$B$11,"Ativo","Fora")</x:f>
        <x:v>Ativo</x:v>
      </x:c>
    </x:row>
    <x:row r="26">
      <x:c r="A26" s="66" t="n">
        <x:v>23</x:v>
      </x:c>
      <x:c r="B26" s="69" t="n">
        <x:f>IF($A26&lt;='Premissas'!$B$11,EDATE('Premissas'!$B$13,$A26-1),"")</x:f>
        <x:v>46935</x:v>
      </x:c>
      <x:c r="C26" s="72" t="n">
        <x:f>IF($A26&lt;='Premissas'!$B$11,'Premissas'!$B$8*(1+'Premissas'!$B$10)^($A26-1),"")</x:f>
        <x:v>104.49364378874853</x:v>
      </x:c>
      <x:c r="D26" s="75" t="n">
        <x:f>IF($A26&lt;='Premissas'!$B$11,IF($A26=1,'Premissas'!$B$6/'Premissas'!$B$8,K25),"")</x:f>
        <x:v>353.86134228648814</x:v>
      </x:c>
      <x:c r="E26" s="78" t="n">
        <x:f>IF($A26&lt;='Premissas'!$B$11,'Premissas'!$B$7,"")</x:f>
        <x:v>1000</x:v>
      </x:c>
      <x:c r="F26" s="78" t="n">
        <x:f>IF($A26&lt;='Premissas'!$B$11,D26*C26*'Premissas'!$B$9,"")</x:f>
        <x:v>295.81008841194165</x:v>
      </x:c>
      <x:c r="G26" s="78" t="n">
        <x:f>IF($A26&lt;='Premissas'!$B$11,D26*C26*'Premissas'!$B$14,"")</x:f>
        <x:v>0</x:v>
      </x:c>
      <x:c r="H26" s="78" t="n">
        <x:f>IF($A26&lt;='Premissas'!$B$11,MAX(F26-G26,0),"")</x:f>
        <x:v>295.81008841194165</x:v>
      </x:c>
      <x:c r="I26" s="78" t="n">
        <x:f>IF($A26&lt;='Premissas'!$B$11,IF('Premissas'!$B$12="Sim",H26,0),"")</x:f>
        <x:v>295.81008841194165</x:v>
      </x:c>
      <x:c r="J26" s="75" t="n">
        <x:f>IF($A26&lt;='Premissas'!$B$11,(E26+I26)/C26,"")</x:f>
        <x:v>12.400850821430247</x:v>
      </x:c>
      <x:c r="K26" s="75" t="n">
        <x:f>IF($A26&lt;='Premissas'!$B$11,D26+J26,"")</x:f>
        <x:v>366.2621931079184</x:v>
      </x:c>
      <x:c r="L26" s="78" t="n">
        <x:f>IF($A26&lt;='Premissas'!$B$11,K26*C26,"")</x:f>
        <x:v>38272.07113990465</x:v>
      </x:c>
      <x:c r="M26" s="78" t="n">
        <x:f>IF($A26&lt;='Premissas'!$B$11,IF($A26=1,'Premissas'!$B$6+E26,M25+E26),"")</x:f>
        <x:v>33000</x:v>
      </x:c>
      <x:c r="N26" s="78" t="n">
        <x:f>IF($A26&lt;='Premissas'!$B$11,IF($A26=1,H26,N25+H26),"")</x:f>
        <x:v>4235.315720594606</x:v>
      </x:c>
      <x:c r="O26" s="78" t="n">
        <x:f>IF($A26&lt;='Premissas'!$B$11,IF($A26=1,IF('Premissas'!$B$12="Sim",0,H26),O25+IF('Premissas'!$B$12="Sim",0,H26)),"")</x:f>
        <x:v>0</x:v>
      </x:c>
      <x:c r="P26" s="81" t="n">
        <x:f>IF($A26&lt;='Premissas'!$B$11,IF(M26=0,0,(L26+O26)/M26-1),"")</x:f>
        <x:v>0.15975973151226208</x:v>
      </x:c>
      <x:c r="Q26" s="84" t="str">
        <x:f>IF($A26&lt;='Premissas'!$B$11,"Ativo","Fora")</x:f>
        <x:v>Ativo</x:v>
      </x:c>
    </x:row>
    <x:row r="27">
      <x:c r="A27" s="66" t="n">
        <x:v>24</x:v>
      </x:c>
      <x:c r="B27" s="69" t="n">
        <x:f>IF($A27&lt;='Premissas'!$B$11,EDATE('Premissas'!$B$13,$A27-1),"")</x:f>
        <x:v>46966</x:v>
      </x:c>
      <x:c r="C27" s="72" t="n">
        <x:f>IF($A27&lt;='Premissas'!$B$11,'Premissas'!$B$8*(1+'Premissas'!$B$10)^($A27-1),"")</x:f>
        <x:v>104.70263107632603</x:v>
      </x:c>
      <x:c r="D27" s="75" t="n">
        <x:f>IF($A27&lt;='Premissas'!$B$11,IF($A27=1,'Premissas'!$B$6/'Premissas'!$B$8,K26),"")</x:f>
        <x:v>366.2621931079184</x:v>
      </x:c>
      <x:c r="E27" s="78" t="n">
        <x:f>IF($A27&lt;='Premissas'!$B$11,'Premissas'!$B$7,"")</x:f>
        <x:v>1000</x:v>
      </x:c>
      <x:c r="F27" s="78" t="n">
        <x:f>IF($A27&lt;='Premissas'!$B$11,D27*C27*'Premissas'!$B$9,"")</x:f>
        <x:v>306.7889222574757</x:v>
      </x:c>
      <x:c r="G27" s="78" t="n">
        <x:f>IF($A27&lt;='Premissas'!$B$11,D27*C27*'Premissas'!$B$14,"")</x:f>
        <x:v>0</x:v>
      </x:c>
      <x:c r="H27" s="78" t="n">
        <x:f>IF($A27&lt;='Premissas'!$B$11,MAX(F27-G27,0),"")</x:f>
        <x:v>306.7889222574757</x:v>
      </x:c>
      <x:c r="I27" s="78" t="n">
        <x:f>IF($A27&lt;='Premissas'!$B$11,IF('Premissas'!$B$12="Sim",H27,0),"")</x:f>
        <x:v>306.7889222574757</x:v>
      </x:c>
      <x:c r="J27" s="75" t="n">
        <x:f>IF($A27&lt;='Premissas'!$B$11,(E27+I27)/C27,"")</x:f>
        <x:v>12.480955911268875</x:v>
      </x:c>
      <x:c r="K27" s="75" t="n">
        <x:f>IF($A27&lt;='Premissas'!$B$11,D27+J27,"")</x:f>
        <x:v>378.7431490191873</x:v>
      </x:c>
      <x:c r="L27" s="78" t="n">
        <x:f>IF($A27&lt;='Premissas'!$B$11,K27*C27,"")</x:f>
        <x:v>39655.40420444194</x:v>
      </x:c>
      <x:c r="M27" s="78" t="n">
        <x:f>IF($A27&lt;='Premissas'!$B$11,IF($A27=1,'Premissas'!$B$6+E27,M26+E27),"")</x:f>
        <x:v>34000</x:v>
      </x:c>
      <x:c r="N27" s="78" t="n">
        <x:f>IF($A27&lt;='Premissas'!$B$11,IF($A27=1,H27,N26+H27),"")</x:f>
        <x:v>4542.104642852082</x:v>
      </x:c>
      <x:c r="O27" s="78" t="n">
        <x:f>IF($A27&lt;='Premissas'!$B$11,IF($A27=1,IF('Premissas'!$B$12="Sim",0,H27),O26+IF('Premissas'!$B$12="Sim",0,H27)),"")</x:f>
        <x:v>0</x:v>
      </x:c>
      <x:c r="P27" s="81" t="n">
        <x:f>IF($A27&lt;='Premissas'!$B$11,IF(M27=0,0,(L27+O27)/M27-1),"")</x:f>
        <x:v>0.1663354177777041</x:v>
      </x:c>
      <x:c r="Q27" s="84" t="str">
        <x:f>IF($A27&lt;='Premissas'!$B$11,"Ativo","Fora")</x:f>
        <x:v>Ativo</x:v>
      </x:c>
    </x:row>
    <x:row r="28">
      <x:c r="A28" s="66" t="n">
        <x:v>25</x:v>
      </x:c>
      <x:c r="B28" s="69" t="n">
        <x:f>IF($A28&lt;='Premissas'!$B$11,EDATE('Premissas'!$B$13,$A28-1),"")</x:f>
        <x:v>46997</x:v>
      </x:c>
      <x:c r="C28" s="72" t="n">
        <x:f>IF($A28&lt;='Premissas'!$B$11,'Premissas'!$B$8*(1+'Premissas'!$B$10)^($A28-1),"")</x:f>
        <x:v>104.91203633847867</x:v>
      </x:c>
      <x:c r="D28" s="75" t="n">
        <x:f>IF($A28&lt;='Premissas'!$B$11,IF($A28=1,'Premissas'!$B$6/'Premissas'!$B$8,K27),"")</x:f>
        <x:v>378.7431490191873</x:v>
      </x:c>
      <x:c r="E28" s="78" t="n">
        <x:f>IF($A28&lt;='Premissas'!$B$11,'Premissas'!$B$7,"")</x:f>
        <x:v>1000</x:v>
      </x:c>
      <x:c r="F28" s="78" t="n">
        <x:f>IF($A28&lt;='Premissas'!$B$11,D28*C28*'Premissas'!$B$9,"")</x:f>
        <x:v>317.87772010280656</x:v>
      </x:c>
      <x:c r="G28" s="78" t="n">
        <x:f>IF($A28&lt;='Premissas'!$B$11,D28*C28*'Premissas'!$B$14,"")</x:f>
        <x:v>0</x:v>
      </x:c>
      <x:c r="H28" s="78" t="n">
        <x:f>IF($A28&lt;='Premissas'!$B$11,MAX(F28-G28,0),"")</x:f>
        <x:v>317.87772010280656</x:v>
      </x:c>
      <x:c r="I28" s="78" t="n">
        <x:f>IF($A28&lt;='Premissas'!$B$11,IF('Premissas'!$B$12="Sim",H28,0),"")</x:f>
        <x:v>317.87772010280656</x:v>
      </x:c>
      <x:c r="J28" s="75" t="n">
        <x:f>IF($A28&lt;='Premissas'!$B$11,(E28+I28)/C28,"")</x:f>
        <x:v>12.561739969005323</x:v>
      </x:c>
      <x:c r="K28" s="75" t="n">
        <x:f>IF($A28&lt;='Premissas'!$B$11,D28+J28,"")</x:f>
        <x:v>391.3048889881926</x:v>
      </x:c>
      <x:c r="L28" s="78" t="n">
        <x:f>IF($A28&lt;='Premissas'!$B$11,K28*C28,"")</x:f>
        <x:v>41052.59273295363</x:v>
      </x:c>
      <x:c r="M28" s="78" t="n">
        <x:f>IF($A28&lt;='Premissas'!$B$11,IF($A28=1,'Premissas'!$B$6+E28,M27+E28),"")</x:f>
        <x:v>35000</x:v>
      </x:c>
      <x:c r="N28" s="78" t="n">
        <x:f>IF($A28&lt;='Premissas'!$B$11,IF($A28=1,H28,N27+H28),"")</x:f>
        <x:v>4859.982362954889</x:v>
      </x:c>
      <x:c r="O28" s="78" t="n">
        <x:f>IF($A28&lt;='Premissas'!$B$11,IF($A28=1,IF('Premissas'!$B$12="Sim",0,H28),O27+IF('Premissas'!$B$12="Sim",0,H28)),"")</x:f>
        <x:v>0</x:v>
      </x:c>
      <x:c r="P28" s="81" t="n">
        <x:f>IF($A28&lt;='Premissas'!$B$11,IF(M28=0,0,(L28+O28)/M28-1),"")</x:f>
        <x:v>0.17293122094153213</x:v>
      </x:c>
      <x:c r="Q28" s="84" t="str">
        <x:f>IF($A28&lt;='Premissas'!$B$11,"Ativo","Fora")</x:f>
        <x:v>Ativo</x:v>
      </x:c>
    </x:row>
    <x:row r="29">
      <x:c r="A29" s="66" t="n">
        <x:v>26</x:v>
      </x:c>
      <x:c r="B29" s="69" t="n">
        <x:f>IF($A29&lt;='Premissas'!$B$11,EDATE('Premissas'!$B$13,$A29-1),"")</x:f>
        <x:v>47027</x:v>
      </x:c>
      <x:c r="C29" s="72" t="n">
        <x:f>IF($A29&lt;='Premissas'!$B$11,'Premissas'!$B$8*(1+'Premissas'!$B$10)^($A29-1),"")</x:f>
        <x:v>105.12186041115564</x:v>
      </x:c>
      <x:c r="D29" s="75" t="n">
        <x:f>IF($A29&lt;='Premissas'!$B$11,IF($A29=1,'Premissas'!$B$6/'Premissas'!$B$8,K28),"")</x:f>
        <x:v>391.3048889881926</x:v>
      </x:c>
      <x:c r="E29" s="78" t="n">
        <x:f>IF($A29&lt;='Premissas'!$B$11,'Premissas'!$B$7,"")</x:f>
        <x:v>1000</x:v>
      </x:c>
      <x:c r="F29" s="78" t="n">
        <x:f>IF($A29&lt;='Premissas'!$B$11,D29*C29*'Premissas'!$B$9,"")</x:f>
        <x:v>329.0775833473563</x:v>
      </x:c>
      <x:c r="G29" s="78" t="n">
        <x:f>IF($A29&lt;='Premissas'!$B$11,D29*C29*'Premissas'!$B$14,"")</x:f>
        <x:v>0</x:v>
      </x:c>
      <x:c r="H29" s="78" t="n">
        <x:f>IF($A29&lt;='Premissas'!$B$11,MAX(F29-G29,0),"")</x:f>
        <x:v>329.0775833473563</x:v>
      </x:c>
      <x:c r="I29" s="78" t="n">
        <x:f>IF($A29&lt;='Premissas'!$B$11,IF('Premissas'!$B$12="Sim",H29,0),"")</x:f>
        <x:v>329.0775833473563</x:v>
      </x:c>
      <x:c r="J29" s="75" t="n">
        <x:f>IF($A29&lt;='Premissas'!$B$11,(E29+I29)/C29,"")</x:f>
        <x:v>12.643208350280617</x:v>
      </x:c>
      <x:c r="K29" s="75" t="n">
        <x:f>IF($A29&lt;='Premissas'!$B$11,D29+J29,"")</x:f>
        <x:v>403.9480973384732</x:v>
      </x:c>
      <x:c r="L29" s="78" t="n">
        <x:f>IF($A29&lt;='Premissas'!$B$11,K29*C29,"")</x:f>
        <x:v>42463.77550176689</x:v>
      </x:c>
      <x:c r="M29" s="78" t="n">
        <x:f>IF($A29&lt;='Premissas'!$B$11,IF($A29=1,'Premissas'!$B$6+E29,M28+E29),"")</x:f>
        <x:v>36000</x:v>
      </x:c>
      <x:c r="N29" s="78" t="n">
        <x:f>IF($A29&lt;='Premissas'!$B$11,IF($A29=1,H29,N28+H29),"")</x:f>
        <x:v>5189.059946302245</x:v>
      </x:c>
      <x:c r="O29" s="78" t="n">
        <x:f>IF($A29&lt;='Premissas'!$B$11,IF($A29=1,IF('Premissas'!$B$12="Sim",0,H29),O28+IF('Premissas'!$B$12="Sim",0,H29)),"")</x:f>
        <x:v>0</x:v>
      </x:c>
      <x:c r="P29" s="81" t="n">
        <x:f>IF($A29&lt;='Premissas'!$B$11,IF(M29=0,0,(L29+O29)/M29-1),"")</x:f>
        <x:v>0.1795493194935247</x:v>
      </x:c>
      <x:c r="Q29" s="84" t="str">
        <x:f>IF($A29&lt;='Premissas'!$B$11,"Ativo","Fora")</x:f>
        <x:v>Ativo</x:v>
      </x:c>
    </x:row>
    <x:row r="30">
      <x:c r="A30" s="66" t="n">
        <x:v>27</x:v>
      </x:c>
      <x:c r="B30" s="69" t="n">
        <x:f>IF($A30&lt;='Premissas'!$B$11,EDATE('Premissas'!$B$13,$A30-1),"")</x:f>
        <x:v>47058</x:v>
      </x:c>
      <x:c r="C30" s="72" t="n">
        <x:f>IF($A30&lt;='Premissas'!$B$11,'Premissas'!$B$8*(1+'Premissas'!$B$10)^($A30-1),"")</x:f>
        <x:v>105.33210413197793</x:v>
      </x:c>
      <x:c r="D30" s="75" t="n">
        <x:f>IF($A30&lt;='Premissas'!$B$11,IF($A30=1,'Premissas'!$B$6/'Premissas'!$B$8,K29),"")</x:f>
        <x:v>403.9480973384732</x:v>
      </x:c>
      <x:c r="E30" s="78" t="n">
        <x:f>IF($A30&lt;='Premissas'!$B$11,'Premissas'!$B$7,"")</x:f>
        <x:v>1000</x:v>
      </x:c>
      <x:c r="F30" s="78" t="n">
        <x:f>IF($A30&lt;='Premissas'!$B$11,D30*C30*'Premissas'!$B$9,"")</x:f>
        <x:v>340.3896244221633</x:v>
      </x:c>
      <x:c r="G30" s="78" t="n">
        <x:f>IF($A30&lt;='Premissas'!$B$11,D30*C30*'Premissas'!$B$14,"")</x:f>
        <x:v>0</x:v>
      </x:c>
      <x:c r="H30" s="78" t="n">
        <x:f>IF($A30&lt;='Premissas'!$B$11,MAX(F30-G30,0),"")</x:f>
        <x:v>340.3896244221633</x:v>
      </x:c>
      <x:c r="I30" s="78" t="n">
        <x:f>IF($A30&lt;='Premissas'!$B$11,IF('Premissas'!$B$12="Sim",H30,0),"")</x:f>
        <x:v>340.3896244221633</x:v>
      </x:c>
      <x:c r="J30" s="75" t="n">
        <x:f>IF($A30&lt;='Premissas'!$B$11,(E30+I30)/C30,"")</x:f>
        <x:v>12.725366453732812</x:v>
      </x:c>
      <x:c r="K30" s="75" t="n">
        <x:f>IF($A30&lt;='Premissas'!$B$11,D30+J30,"")</x:f>
        <x:v>416.673463792206</x:v>
      </x:c>
      <x:c r="L30" s="78" t="n">
        <x:f>IF($A30&lt;='Premissas'!$B$11,K30*C30,"")</x:f>
        <x:v>43889.09267719258</x:v>
      </x:c>
      <x:c r="M30" s="78" t="n">
        <x:f>IF($A30&lt;='Premissas'!$B$11,IF($A30=1,'Premissas'!$B$6+E30,M29+E30),"")</x:f>
        <x:v>37000</x:v>
      </x:c>
      <x:c r="N30" s="78" t="n">
        <x:f>IF($A30&lt;='Premissas'!$B$11,IF($A30=1,H30,N29+H30),"")</x:f>
        <x:v>5529.449570724409</x:v>
      </x:c>
      <x:c r="O30" s="78" t="n">
        <x:f>IF($A30&lt;='Premissas'!$B$11,IF($A30=1,IF('Premissas'!$B$12="Sim",0,H30),O29+IF('Premissas'!$B$12="Sim",0,H30)),"")</x:f>
        <x:v>0</x:v>
      </x:c>
      <x:c r="P30" s="81" t="n">
        <x:f>IF($A30&lt;='Premissas'!$B$11,IF(M30=0,0,(L30+O30)/M30-1),"")</x:f>
        <x:v>0.1861916939781778</x:v>
      </x:c>
      <x:c r="Q30" s="84" t="str">
        <x:f>IF($A30&lt;='Premissas'!$B$11,"Ativo","Fora")</x:f>
        <x:v>Ativo</x:v>
      </x:c>
    </x:row>
    <x:row r="31">
      <x:c r="A31" s="66" t="n">
        <x:v>28</x:v>
      </x:c>
      <x:c r="B31" s="69" t="n">
        <x:f>IF($A31&lt;='Premissas'!$B$11,EDATE('Premissas'!$B$13,$A31-1),"")</x:f>
        <x:v>47088</x:v>
      </x:c>
      <x:c r="C31" s="72" t="n">
        <x:f>IF($A31&lt;='Premissas'!$B$11,'Premissas'!$B$8*(1+'Premissas'!$B$10)^($A31-1),"")</x:f>
        <x:v>105.5427683402419</x:v>
      </x:c>
      <x:c r="D31" s="75" t="n">
        <x:f>IF($A31&lt;='Premissas'!$B$11,IF($A31=1,'Premissas'!$B$6/'Premissas'!$B$8,K30),"")</x:f>
        <x:v>416.673463792206</x:v>
      </x:c>
      <x:c r="E31" s="78" t="n">
        <x:f>IF($A31&lt;='Premissas'!$B$11,'Premissas'!$B$7,"")</x:f>
        <x:v>1000</x:v>
      </x:c>
      <x:c r="F31" s="78" t="n">
        <x:f>IF($A31&lt;='Premissas'!$B$11,D31*C31*'Premissas'!$B$9,"")</x:f>
        <x:v>351.8149669003758</x:v>
      </x:c>
      <x:c r="G31" s="78" t="n">
        <x:f>IF($A31&lt;='Premissas'!$B$11,D31*C31*'Premissas'!$B$14,"")</x:f>
        <x:v>0</x:v>
      </x:c>
      <x:c r="H31" s="78" t="n">
        <x:f>IF($A31&lt;='Premissas'!$B$11,MAX(F31-G31,0),"")</x:f>
        <x:v>351.8149669003758</x:v>
      </x:c>
      <x:c r="I31" s="78" t="n">
        <x:f>IF($A31&lt;='Premissas'!$B$11,IF('Premissas'!$B$12="Sim",H31,0),"")</x:f>
        <x:v>351.8149669003758</x:v>
      </x:c>
      <x:c r="J31" s="75" t="n">
        <x:f>IF($A31&lt;='Premissas'!$B$11,(E31+I31)/C31,"")</x:f>
        <x:v>12.808219721340667</x:v>
      </x:c>
      <x:c r="K31" s="75" t="n">
        <x:f>IF($A31&lt;='Premissas'!$B$11,D31+J31,"")</x:f>
        <x:v>429.48168351354667</x:v>
      </x:c>
      <x:c r="L31" s="78" t="n">
        <x:f>IF($A31&lt;='Premissas'!$B$11,K31*C31,"")</x:f>
        <x:v>45328.68582944735</x:v>
      </x:c>
      <x:c r="M31" s="78" t="n">
        <x:f>IF($A31&lt;='Premissas'!$B$11,IF($A31=1,'Premissas'!$B$6+E31,M30+E31),"")</x:f>
        <x:v>38000</x:v>
      </x:c>
      <x:c r="N31" s="78" t="n">
        <x:f>IF($A31&lt;='Premissas'!$B$11,IF($A31=1,H31,N30+H31),"")</x:f>
        <x:v>5881.264537624785</x:v>
      </x:c>
      <x:c r="O31" s="78" t="n">
        <x:f>IF($A31&lt;='Premissas'!$B$11,IF($A31=1,IF('Premissas'!$B$12="Sim",0,H31),O30+IF('Premissas'!$B$12="Sim",0,H31)),"")</x:f>
        <x:v>0</x:v>
      </x:c>
      <x:c r="P31" s="81" t="n">
        <x:f>IF($A31&lt;='Premissas'!$B$11,IF(M31=0,0,(L31+O31)/M31-1),"")</x:f>
        <x:v>0.1928601534065093</x:v>
      </x:c>
      <x:c r="Q31" s="84" t="str">
        <x:f>IF($A31&lt;='Premissas'!$B$11,"Ativo","Fora")</x:f>
        <x:v>Ativo</x:v>
      </x:c>
    </x:row>
    <x:row r="32">
      <x:c r="A32" s="66" t="n">
        <x:v>29</x:v>
      </x:c>
      <x:c r="B32" s="69" t="n">
        <x:f>IF($A32&lt;='Premissas'!$B$11,EDATE('Premissas'!$B$13,$A32-1),"")</x:f>
        <x:v>47119</x:v>
      </x:c>
      <x:c r="C32" s="72" t="n">
        <x:f>IF($A32&lt;='Premissas'!$B$11,'Premissas'!$B$8*(1+'Premissas'!$B$10)^($A32-1),"")</x:f>
        <x:v>105.75385387692238</x:v>
      </x:c>
      <x:c r="D32" s="75" t="n">
        <x:f>IF($A32&lt;='Premissas'!$B$11,IF($A32=1,'Premissas'!$B$6/'Premissas'!$B$8,K31),"")</x:f>
        <x:v>429.48168351354667</x:v>
      </x:c>
      <x:c r="E32" s="78" t="n">
        <x:f>IF($A32&lt;='Premissas'!$B$11,'Premissas'!$B$7,"")</x:f>
        <x:v>1000</x:v>
      </x:c>
      <x:c r="F32" s="78" t="n">
        <x:f>IF($A32&lt;='Premissas'!$B$11,D32*C32*'Premissas'!$B$9,"")</x:f>
        <x:v>363.3547456088499</x:v>
      </x:c>
      <x:c r="G32" s="78" t="n">
        <x:f>IF($A32&lt;='Premissas'!$B$11,D32*C32*'Premissas'!$B$14,"")</x:f>
        <x:v>0</x:v>
      </x:c>
      <x:c r="H32" s="78" t="n">
        <x:f>IF($A32&lt;='Premissas'!$B$11,MAX(F32-G32,0),"")</x:f>
        <x:v>363.3547456088499</x:v>
      </x:c>
      <x:c r="I32" s="78" t="n">
        <x:f>IF($A32&lt;='Premissas'!$B$11,IF('Premissas'!$B$12="Sim",H32,0),"")</x:f>
        <x:v>363.3547456088499</x:v>
      </x:c>
      <x:c r="J32" s="75" t="n">
        <x:f>IF($A32&lt;='Premissas'!$B$11,(E32+I32)/C32,"")</x:f>
        <x:v>12.89177363877007</x:v>
      </x:c>
      <x:c r="K32" s="75" t="n">
        <x:f>IF($A32&lt;='Premissas'!$B$11,D32+J32,"")</x:f>
        <x:v>442.37345715231675</x:v>
      </x:c>
      <x:c r="L32" s="78" t="n">
        <x:f>IF($A32&lt;='Premissas'!$B$11,K32*C32,"")</x:f>
        <x:v>46782.69794671509</x:v>
      </x:c>
      <x:c r="M32" s="78" t="n">
        <x:f>IF($A32&lt;='Premissas'!$B$11,IF($A32=1,'Premissas'!$B$6+E32,M31+E32),"")</x:f>
        <x:v>39000</x:v>
      </x:c>
      <x:c r="N32" s="78" t="n">
        <x:f>IF($A32&lt;='Premissas'!$B$11,IF($A32=1,H32,N31+H32),"")</x:f>
        <x:v>6244.619283233635</x:v>
      </x:c>
      <x:c r="O32" s="78" t="n">
        <x:f>IF($A32&lt;='Premissas'!$B$11,IF($A32=1,IF('Premissas'!$B$12="Sim",0,H32),O31+IF('Premissas'!$B$12="Sim",0,H32)),"")</x:f>
        <x:v>0</x:v>
      </x:c>
      <x:c r="P32" s="81" t="n">
        <x:f>IF($A32&lt;='Premissas'!$B$11,IF(M32=0,0,(L32+O32)/M32-1),"")</x:f>
        <x:v>0.19955635760807922</x:v>
      </x:c>
      <x:c r="Q32" s="84" t="str">
        <x:f>IF($A32&lt;='Premissas'!$B$11,"Ativo","Fora")</x:f>
        <x:v>Ativo</x:v>
      </x:c>
    </x:row>
    <x:row r="33">
      <x:c r="A33" s="66" t="n">
        <x:v>30</x:v>
      </x:c>
      <x:c r="B33" s="69" t="n">
        <x:f>IF($A33&lt;='Premissas'!$B$11,EDATE('Premissas'!$B$13,$A33-1),"")</x:f>
        <x:v>47150</x:v>
      </x:c>
      <x:c r="C33" s="72" t="n">
        <x:f>IF($A33&lt;='Premissas'!$B$11,'Premissas'!$B$8*(1+'Premissas'!$B$10)^($A33-1),"")</x:f>
        <x:v>105.96536158467622</x:v>
      </x:c>
      <x:c r="D33" s="75" t="n">
        <x:f>IF($A33&lt;='Premissas'!$B$11,IF($A33=1,'Premissas'!$B$6/'Premissas'!$B$8,K32),"")</x:f>
        <x:v>442.37345715231675</x:v>
      </x:c>
      <x:c r="E33" s="78" t="n">
        <x:f>IF($A33&lt;='Premissas'!$B$11,'Premissas'!$B$7,"")</x:f>
        <x:v>1000</x:v>
      </x:c>
      <x:c r="F33" s="78" t="n">
        <x:f>IF($A33&lt;='Premissas'!$B$11,D33*C33*'Premissas'!$B$9,"")</x:f>
        <x:v>375.01010674086814</x:v>
      </x:c>
      <x:c r="G33" s="78" t="n">
        <x:f>IF($A33&lt;='Premissas'!$B$11,D33*C33*'Premissas'!$B$14,"")</x:f>
        <x:v>0</x:v>
      </x:c>
      <x:c r="H33" s="78" t="n">
        <x:f>IF($A33&lt;='Premissas'!$B$11,MAX(F33-G33,0),"")</x:f>
        <x:v>375.01010674086814</x:v>
      </x:c>
      <x:c r="I33" s="78" t="n">
        <x:f>IF($A33&lt;='Premissas'!$B$11,IF('Premissas'!$B$12="Sim",H33,0),"")</x:f>
        <x:v>375.01010674086814</x:v>
      </x:c>
      <x:c r="J33" s="75" t="n">
        <x:f>IF($A33&lt;='Premissas'!$B$11,(E33+I33)/C33,"")</x:f>
        <x:v>12.976033735723222</x:v>
      </x:c>
      <x:c r="K33" s="75" t="n">
        <x:f>IF($A33&lt;='Premissas'!$B$11,D33+J33,"")</x:f>
        <x:v>455.34949088803995</x:v>
      </x:c>
      <x:c r="L33" s="78" t="n">
        <x:f>IF($A33&lt;='Premissas'!$B$11,K33*C33,"")</x:f>
        <x:v>48251.273449349384</x:v>
      </x:c>
      <x:c r="M33" s="78" t="n">
        <x:f>IF($A33&lt;='Premissas'!$B$11,IF($A33=1,'Premissas'!$B$6+E33,M32+E33),"")</x:f>
        <x:v>40000</x:v>
      </x:c>
      <x:c r="N33" s="78" t="n">
        <x:f>IF($A33&lt;='Premissas'!$B$11,IF($A33=1,H33,N32+H33),"")</x:f>
        <x:v>6619.629389974502</x:v>
      </x:c>
      <x:c r="O33" s="78" t="n">
        <x:f>IF($A33&lt;='Premissas'!$B$11,IF($A33=1,IF('Premissas'!$B$12="Sim",0,H33),O32+IF('Premissas'!$B$12="Sim",0,H33)),"")</x:f>
        <x:v>0</x:v>
      </x:c>
      <x:c r="P33" s="81" t="n">
        <x:f>IF($A33&lt;='Premissas'!$B$11,IF(M33=0,0,(L33+O33)/M33-1),"")</x:f>
        <x:v>0.20628183623373464</x:v>
      </x:c>
      <x:c r="Q33" s="84" t="str">
        <x:f>IF($A33&lt;='Premissas'!$B$11,"Ativo","Fora")</x:f>
        <x:v>Ativo</x:v>
      </x:c>
    </x:row>
    <x:row r="34">
      <x:c r="A34" s="66" t="n">
        <x:v>31</x:v>
      </x:c>
      <x:c r="B34" s="69" t="n">
        <x:f>IF($A34&lt;='Premissas'!$B$11,EDATE('Premissas'!$B$13,$A34-1),"")</x:f>
        <x:v>47178</x:v>
      </x:c>
      <x:c r="C34" s="72" t="n">
        <x:f>IF($A34&lt;='Premissas'!$B$11,'Premissas'!$B$8*(1+'Premissas'!$B$10)^($A34-1),"")</x:f>
        <x:v>106.17729230784559</x:v>
      </x:c>
      <x:c r="D34" s="75" t="n">
        <x:f>IF($A34&lt;='Premissas'!$B$11,IF($A34=1,'Premissas'!$B$6/'Premissas'!$B$8,K33),"")</x:f>
        <x:v>455.34949088803995</x:v>
      </x:c>
      <x:c r="E34" s="78" t="n">
        <x:f>IF($A34&lt;='Premissas'!$B$11,'Premissas'!$B$7,"")</x:f>
        <x:v>1000</x:v>
      </x:c>
      <x:c r="F34" s="78" t="n">
        <x:f>IF($A34&lt;='Premissas'!$B$11,D34*C34*'Premissas'!$B$9,"")</x:f>
        <x:v>386.78220796998477</x:v>
      </x:c>
      <x:c r="G34" s="78" t="n">
        <x:f>IF($A34&lt;='Premissas'!$B$11,D34*C34*'Premissas'!$B$14,"")</x:f>
        <x:v>0</x:v>
      </x:c>
      <x:c r="H34" s="78" t="n">
        <x:f>IF($A34&lt;='Premissas'!$B$11,MAX(F34-G34,0),"")</x:f>
        <x:v>386.78220796998477</x:v>
      </x:c>
      <x:c r="I34" s="78" t="n">
        <x:f>IF($A34&lt;='Premissas'!$B$11,IF('Premissas'!$B$12="Sim",H34,0),"")</x:f>
        <x:v>386.78220796998477</x:v>
      </x:c>
      <x:c r="J34" s="75" t="n">
        <x:f>IF($A34&lt;='Premissas'!$B$11,(E34+I34)/C34,"")</x:f>
        <x:v>13.061005586290634</x:v>
      </x:c>
      <x:c r="K34" s="75" t="n">
        <x:f>IF($A34&lt;='Premissas'!$B$11,D34+J34,"")</x:f>
        <x:v>468.41049647433056</x:v>
      </x:c>
      <x:c r="L34" s="78" t="n">
        <x:f>IF($A34&lt;='Premissas'!$B$11,K34*C34,"")</x:f>
        <x:v>49734.55820421807</x:v>
      </x:c>
      <x:c r="M34" s="78" t="n">
        <x:f>IF($A34&lt;='Premissas'!$B$11,IF($A34=1,'Premissas'!$B$6+E34,M33+E34),"")</x:f>
        <x:v>41000</x:v>
      </x:c>
      <x:c r="N34" s="78" t="n">
        <x:f>IF($A34&lt;='Premissas'!$B$11,IF($A34=1,H34,N33+H34),"")</x:f>
        <x:v>7006.411597944487</x:v>
      </x:c>
      <x:c r="O34" s="78" t="n">
        <x:f>IF($A34&lt;='Premissas'!$B$11,IF($A34=1,IF('Premissas'!$B$12="Sim",0,H34),O33+IF('Premissas'!$B$12="Sim",0,H34)),"")</x:f>
        <x:v>0</x:v>
      </x:c>
      <x:c r="P34" s="81" t="n">
        <x:f>IF($A34&lt;='Premissas'!$B$11,IF(M34=0,0,(L34+O34)/M34-1),"")</x:f>
        <x:v>0.2130380049809284</x:v>
      </x:c>
      <x:c r="Q34" s="84" t="str">
        <x:f>IF($A34&lt;='Premissas'!$B$11,"Ativo","Fora")</x:f>
        <x:v>Ativo</x:v>
      </x:c>
    </x:row>
    <x:row r="35">
      <x:c r="A35" s="66" t="n">
        <x:v>32</x:v>
      </x:c>
      <x:c r="B35" s="69" t="n">
        <x:f>IF($A35&lt;='Premissas'!$B$11,EDATE('Premissas'!$B$13,$A35-1),"")</x:f>
        <x:v>47209</x:v>
      </x:c>
      <x:c r="C35" s="72" t="n">
        <x:f>IF($A35&lt;='Premissas'!$B$11,'Premissas'!$B$8*(1+'Premissas'!$B$10)^($A35-1),"")</x:f>
        <x:v>106.38964689246126</x:v>
      </x:c>
      <x:c r="D35" s="75" t="n">
        <x:f>IF($A35&lt;='Premissas'!$B$11,IF($A35=1,'Premissas'!$B$6/'Premissas'!$B$8,K34),"")</x:f>
        <x:v>468.41049647433056</x:v>
      </x:c>
      <x:c r="E35" s="78" t="n">
        <x:f>IF($A35&lt;='Premissas'!$B$11,'Premissas'!$B$7,"")</x:f>
        <x:v>1000</x:v>
      </x:c>
      <x:c r="F35" s="78" t="n">
        <x:f>IF($A35&lt;='Premissas'!$B$11,D35*C35*'Premissas'!$B$9,"")</x:f>
        <x:v>398.672218565012</x:v>
      </x:c>
      <x:c r="G35" s="78" t="n">
        <x:f>IF($A35&lt;='Premissas'!$B$11,D35*C35*'Premissas'!$B$14,"")</x:f>
        <x:v>0</x:v>
      </x:c>
      <x:c r="H35" s="78" t="n">
        <x:f>IF($A35&lt;='Premissas'!$B$11,MAX(F35-G35,0),"")</x:f>
        <x:v>398.672218565012</x:v>
      </x:c>
      <x:c r="I35" s="78" t="n">
        <x:f>IF($A35&lt;='Premissas'!$B$11,IF('Premissas'!$B$12="Sim",H35,0),"")</x:f>
        <x:v>398.672218565012</x:v>
      </x:c>
      <x:c r="J35" s="75" t="n">
        <x:f>IF($A35&lt;='Premissas'!$B$11,(E35+I35)/C35,"")</x:f>
        <x:v>13.146694809305936</x:v>
      </x:c>
      <x:c r="K35" s="75" t="n">
        <x:f>IF($A35&lt;='Premissas'!$B$11,D35+J35,"")</x:f>
        <x:v>481.5571912836365</x:v>
      </x:c>
      <x:c r="L35" s="78" t="n">
        <x:f>IF($A35&lt;='Premissas'!$B$11,K35*C35,"")</x:f>
        <x:v>51232.699539191504</x:v>
      </x:c>
      <x:c r="M35" s="78" t="n">
        <x:f>IF($A35&lt;='Premissas'!$B$11,IF($A35=1,'Premissas'!$B$6+E35,M34+E35),"")</x:f>
        <x:v>42000</x:v>
      </x:c>
      <x:c r="N35" s="78" t="n">
        <x:f>IF($A35&lt;='Premissas'!$B$11,IF($A35=1,H35,N34+H35),"")</x:f>
        <x:v>7405.083816509499</x:v>
      </x:c>
      <x:c r="O35" s="78" t="n">
        <x:f>IF($A35&lt;='Premissas'!$B$11,IF($A35=1,IF('Premissas'!$B$12="Sim",0,H35),O34+IF('Premissas'!$B$12="Sim",0,H35)),"")</x:f>
        <x:v>0</x:v>
      </x:c>
      <x:c r="P35" s="81" t="n">
        <x:f>IF($A35&lt;='Premissas'!$B$11,IF(M35=0,0,(L35+O35)/M35-1),"")</x:f>
        <x:v>0.21982617950455952</x:v>
      </x:c>
      <x:c r="Q35" s="84" t="str">
        <x:f>IF($A35&lt;='Premissas'!$B$11,"Ativo","Fora")</x:f>
        <x:v>Ativo</x:v>
      </x:c>
    </x:row>
    <x:row r="36">
      <x:c r="A36" s="66" t="n">
        <x:v>33</x:v>
      </x:c>
      <x:c r="B36" s="69" t="n">
        <x:f>IF($A36&lt;='Premissas'!$B$11,EDATE('Premissas'!$B$13,$A36-1),"")</x:f>
        <x:v>47239</x:v>
      </x:c>
      <x:c r="C36" s="72" t="n">
        <x:f>IF($A36&lt;='Premissas'!$B$11,'Premissas'!$B$8*(1+'Premissas'!$B$10)^($A36-1),"")</x:f>
        <x:v>106.60242618624618</x:v>
      </x:c>
      <x:c r="D36" s="75" t="n">
        <x:f>IF($A36&lt;='Premissas'!$B$11,IF($A36=1,'Premissas'!$B$6/'Premissas'!$B$8,K35),"")</x:f>
        <x:v>481.5571912836365</x:v>
      </x:c>
      <x:c r="E36" s="78" t="n">
        <x:f>IF($A36&lt;='Premissas'!$B$11,'Premissas'!$B$7,"")</x:f>
        <x:v>1000</x:v>
      </x:c>
      <x:c r="F36" s="78" t="n">
        <x:f>IF($A36&lt;='Premissas'!$B$11,D36*C36*'Premissas'!$B$9,"")</x:f>
        <x:v>410.6813195061591</x:v>
      </x:c>
      <x:c r="G36" s="78" t="n">
        <x:f>IF($A36&lt;='Premissas'!$B$11,D36*C36*'Premissas'!$B$14,"")</x:f>
        <x:v>0</x:v>
      </x:c>
      <x:c r="H36" s="78" t="n">
        <x:f>IF($A36&lt;='Premissas'!$B$11,MAX(F36-G36,0),"")</x:f>
        <x:v>410.6813195061591</x:v>
      </x:c>
      <x:c r="I36" s="78" t="n">
        <x:f>IF($A36&lt;='Premissas'!$B$11,IF('Premissas'!$B$12="Sim",H36,0),"")</x:f>
        <x:v>410.6813195061591</x:v>
      </x:c>
      <x:c r="J36" s="75" t="n">
        <x:f>IF($A36&lt;='Premissas'!$B$11,(E36+I36)/C36,"")</x:f>
        <x:v>13.233107068703516</x:v>
      </x:c>
      <x:c r="K36" s="75" t="n">
        <x:f>IF($A36&lt;='Premissas'!$B$11,D36+J36,"")</x:f>
        <x:v>494.79029835234</x:v>
      </x:c>
      <x:c r="L36" s="78" t="n">
        <x:f>IF($A36&lt;='Premissas'!$B$11,K36*C36,"")</x:f>
        <x:v>52745.84625777605</x:v>
      </x:c>
      <x:c r="M36" s="78" t="n">
        <x:f>IF($A36&lt;='Premissas'!$B$11,IF($A36=1,'Premissas'!$B$6+E36,M35+E36),"")</x:f>
        <x:v>43000</x:v>
      </x:c>
      <x:c r="N36" s="78" t="n">
        <x:f>IF($A36&lt;='Premissas'!$B$11,IF($A36=1,H36,N35+H36),"")</x:f>
        <x:v>7815.765136015659</x:v>
      </x:c>
      <x:c r="O36" s="78" t="n">
        <x:f>IF($A36&lt;='Premissas'!$B$11,IF($A36=1,IF('Premissas'!$B$12="Sim",0,H36),O35+IF('Premissas'!$B$12="Sim",0,H36)),"")</x:f>
        <x:v>0</x:v>
      </x:c>
      <x:c r="P36" s="81" t="n">
        <x:f>IF($A36&lt;='Premissas'!$B$11,IF(M36=0,0,(L36+O36)/M36-1),"")</x:f>
        <x:v>0.2266475873901408</x:v>
      </x:c>
      <x:c r="Q36" s="84" t="str">
        <x:f>IF($A36&lt;='Premissas'!$B$11,"Ativo","Fora")</x:f>
        <x:v>Ativo</x:v>
      </x:c>
    </x:row>
    <x:row r="37">
      <x:c r="A37" s="66" t="n">
        <x:v>34</x:v>
      </x:c>
      <x:c r="B37" s="69" t="n">
        <x:f>IF($A37&lt;='Premissas'!$B$11,EDATE('Premissas'!$B$13,$A37-1),"")</x:f>
        <x:v>47270</x:v>
      </x:c>
      <x:c r="C37" s="72" t="n">
        <x:f>IF($A37&lt;='Premissas'!$B$11,'Premissas'!$B$8*(1+'Premissas'!$B$10)^($A37-1),"")</x:f>
        <x:v>106.81563103861869</x:v>
      </x:c>
      <x:c r="D37" s="75" t="n">
        <x:f>IF($A37&lt;='Premissas'!$B$11,IF($A37=1,'Premissas'!$B$6/'Premissas'!$B$8,K36),"")</x:f>
        <x:v>494.79029835234</x:v>
      </x:c>
      <x:c r="E37" s="78" t="n">
        <x:f>IF($A37&lt;='Premissas'!$B$11,'Premissas'!$B$7,"")</x:f>
        <x:v>1000</x:v>
      </x:c>
      <x:c r="F37" s="78" t="n">
        <x:f>IF($A37&lt;='Premissas'!$B$11,D37*C37*'Premissas'!$B$9,"")</x:f>
        <x:v>422.8107036023329</x:v>
      </x:c>
      <x:c r="G37" s="78" t="n">
        <x:f>IF($A37&lt;='Premissas'!$B$11,D37*C37*'Premissas'!$B$14,"")</x:f>
        <x:v>0</x:v>
      </x:c>
      <x:c r="H37" s="78" t="n">
        <x:f>IF($A37&lt;='Premissas'!$B$11,MAX(F37-G37,0),"")</x:f>
        <x:v>422.8107036023329</x:v>
      </x:c>
      <x:c r="I37" s="78" t="n">
        <x:f>IF($A37&lt;='Premissas'!$B$11,IF('Premissas'!$B$12="Sim",H37,0),"")</x:f>
        <x:v>422.8107036023329</x:v>
      </x:c>
      <x:c r="J37" s="75" t="n">
        <x:f>IF($A37&lt;='Premissas'!$B$11,(E37+I37)/C37,"")</x:f>
        <x:v>13.320248073879023</x:v>
      </x:c>
      <x:c r="K37" s="75" t="n">
        <x:f>IF($A37&lt;='Premissas'!$B$11,D37+J37,"")</x:f>
        <x:v>508.11054642621906</x:v>
      </x:c>
      <x:c r="L37" s="78" t="n">
        <x:f>IF($A37&lt;='Premissas'!$B$11,K37*C37,"")</x:f>
        <x:v>54274.14865389395</x:v>
      </x:c>
      <x:c r="M37" s="78" t="n">
        <x:f>IF($A37&lt;='Premissas'!$B$11,IF($A37=1,'Premissas'!$B$6+E37,M36+E37),"")</x:f>
        <x:v>44000</x:v>
      </x:c>
      <x:c r="N37" s="78" t="n">
        <x:f>IF($A37&lt;='Premissas'!$B$11,IF($A37=1,H37,N36+H37),"")</x:f>
        <x:v>8238.575839617992</x:v>
      </x:c>
      <x:c r="O37" s="78" t="n">
        <x:f>IF($A37&lt;='Premissas'!$B$11,IF($A37=1,IF('Premissas'!$B$12="Sim",0,H37),O36+IF('Premissas'!$B$12="Sim",0,H37)),"")</x:f>
        <x:v>0</x:v>
      </x:c>
      <x:c r="P37" s="81" t="n">
        <x:f>IF($A37&lt;='Premissas'!$B$11,IF(M37=0,0,(L37+O37)/M37-1),"")</x:f>
        <x:v>0.23350337849758973</x:v>
      </x:c>
      <x:c r="Q37" s="84" t="str">
        <x:f>IF($A37&lt;='Premissas'!$B$11,"Ativo","Fora")</x:f>
        <x:v>Ativo</x:v>
      </x:c>
    </x:row>
    <x:row r="38">
      <x:c r="A38" s="66" t="n">
        <x:v>35</x:v>
      </x:c>
      <x:c r="B38" s="69" t="n">
        <x:f>IF($A38&lt;='Premissas'!$B$11,EDATE('Premissas'!$B$13,$A38-1),"")</x:f>
        <x:v>47300</x:v>
      </x:c>
      <x:c r="C38" s="72" t="n">
        <x:f>IF($A38&lt;='Premissas'!$B$11,'Premissas'!$B$8*(1+'Premissas'!$B$10)^($A38-1),"")</x:f>
        <x:v>107.02926230069592</x:v>
      </x:c>
      <x:c r="D38" s="75" t="n">
        <x:f>IF($A38&lt;='Premissas'!$B$11,IF($A38=1,'Premissas'!$B$6/'Premissas'!$B$8,K37),"")</x:f>
        <x:v>508.11054642621906</x:v>
      </x:c>
      <x:c r="E38" s="78" t="n">
        <x:f>IF($A38&lt;='Premissas'!$B$11,'Premissas'!$B$7,"")</x:f>
        <x:v>1000</x:v>
      </x:c>
      <x:c r="F38" s="78" t="n">
        <x:f>IF($A38&lt;='Premissas'!$B$11,D38*C38*'Premissas'!$B$9,"")</x:f>
        <x:v>435.06157560961384</x:v>
      </x:c>
      <x:c r="G38" s="78" t="n">
        <x:f>IF($A38&lt;='Premissas'!$B$11,D38*C38*'Premissas'!$B$14,"")</x:f>
        <x:v>0</x:v>
      </x:c>
      <x:c r="H38" s="78" t="n">
        <x:f>IF($A38&lt;='Premissas'!$B$11,MAX(F38-G38,0),"")</x:f>
        <x:v>435.06157560961384</x:v>
      </x:c>
      <x:c r="I38" s="78" t="n">
        <x:f>IF($A38&lt;='Premissas'!$B$11,IF('Premissas'!$B$12="Sim",H38,0),"")</x:f>
        <x:v>435.06157560961384</x:v>
      </x:c>
      <x:c r="J38" s="75" t="n">
        <x:f>IF($A38&lt;='Premissas'!$B$11,(E38+I38)/C38,"")</x:f>
        <x:v>13.408123580052768</x:v>
      </x:c>
      <x:c r="K38" s="75" t="n">
        <x:f>IF($A38&lt;='Premissas'!$B$11,D38+J38,"")</x:f>
        <x:v>521.5186700062718</x:v>
      </x:c>
      <x:c r="L38" s="78" t="n">
        <x:f>IF($A38&lt;='Premissas'!$B$11,K38*C38,"")</x:f>
        <x:v>55817.75852681134</x:v>
      </x:c>
      <x:c r="M38" s="78" t="n">
        <x:f>IF($A38&lt;='Premissas'!$B$11,IF($A38=1,'Premissas'!$B$6+E38,M37+E38),"")</x:f>
        <x:v>45000</x:v>
      </x:c>
      <x:c r="N38" s="78" t="n">
        <x:f>IF($A38&lt;='Premissas'!$B$11,IF($A38=1,H38,N37+H38),"")</x:f>
        <x:v>8673.637415227606</x:v>
      </x:c>
      <x:c r="O38" s="78" t="n">
        <x:f>IF($A38&lt;='Premissas'!$B$11,IF($A38=1,IF('Premissas'!$B$12="Sim",0,H38),O37+IF('Premissas'!$B$12="Sim",0,H38)),"")</x:f>
        <x:v>0</x:v>
      </x:c>
      <x:c r="P38" s="81" t="n">
        <x:f>IF($A38&lt;='Premissas'!$B$11,IF(M38=0,0,(L38+O38)/M38-1),"")</x:f>
        <x:v>0.24039463392914096</x:v>
      </x:c>
      <x:c r="Q38" s="84" t="str">
        <x:f>IF($A38&lt;='Premissas'!$B$11,"Ativo","Fora")</x:f>
        <x:v>Ativo</x:v>
      </x:c>
    </x:row>
    <x:row r="39">
      <x:c r="A39" s="66" t="n">
        <x:v>36</x:v>
      </x:c>
      <x:c r="B39" s="69" t="n">
        <x:f>IF($A39&lt;='Premissas'!$B$11,EDATE('Premissas'!$B$13,$A39-1),"")</x:f>
        <x:v>47331</x:v>
      </x:c>
      <x:c r="C39" s="72" t="n">
        <x:f>IF($A39&lt;='Premissas'!$B$11,'Premissas'!$B$8*(1+'Premissas'!$B$10)^($A39-1),"")</x:f>
        <x:v>107.2433208252973</x:v>
      </x:c>
      <x:c r="D39" s="75" t="n">
        <x:f>IF($A39&lt;='Premissas'!$B$11,IF($A39=1,'Premissas'!$B$6/'Premissas'!$B$8,K38),"")</x:f>
        <x:v>521.5186700062718</x:v>
      </x:c>
      <x:c r="E39" s="78" t="n">
        <x:f>IF($A39&lt;='Premissas'!$B$11,'Premissas'!$B$7,"")</x:f>
        <x:v>1000</x:v>
      </x:c>
      <x:c r="F39" s="78" t="n">
        <x:f>IF($A39&lt;='Premissas'!$B$11,D39*C39*'Premissas'!$B$9,"")</x:f>
        <x:v>447.4351523509197</x:v>
      </x:c>
      <x:c r="G39" s="78" t="n">
        <x:f>IF($A39&lt;='Premissas'!$B$11,D39*C39*'Premissas'!$B$14,"")</x:f>
        <x:v>0</x:v>
      </x:c>
      <x:c r="H39" s="78" t="n">
        <x:f>IF($A39&lt;='Premissas'!$B$11,MAX(F39-G39,0),"")</x:f>
        <x:v>447.4351523509197</x:v>
      </x:c>
      <x:c r="I39" s="78" t="n">
        <x:f>IF($A39&lt;='Premissas'!$B$11,IF('Premissas'!$B$12="Sim",H39,0),"")</x:f>
        <x:v>447.4351523509197</x:v>
      </x:c>
      <x:c r="J39" s="75" t="n">
        <x:f>IF($A39&lt;='Premissas'!$B$11,(E39+I39)/C39,"")</x:f>
        <x:v>13.49673938863602</x:v>
      </x:c>
      <x:c r="K39" s="75" t="n">
        <x:f>IF($A39&lt;='Premissas'!$B$11,D39+J39,"")</x:f>
        <x:v>535.0154093949078</x:v>
      </x:c>
      <x:c r="L39" s="78" t="n">
        <x:f>IF($A39&lt;='Premissas'!$B$11,K39*C39,"")</x:f>
        <x:v>57376.82919621588</x:v>
      </x:c>
      <x:c r="M39" s="78" t="n">
        <x:f>IF($A39&lt;='Premissas'!$B$11,IF($A39=1,'Premissas'!$B$6+E39,M38+E39),"")</x:f>
        <x:v>46000</x:v>
      </x:c>
      <x:c r="N39" s="78" t="n">
        <x:f>IF($A39&lt;='Premissas'!$B$11,IF($A39=1,H39,N38+H39),"")</x:f>
        <x:v>9121.072567578525</x:v>
      </x:c>
      <x:c r="O39" s="78" t="n">
        <x:f>IF($A39&lt;='Premissas'!$B$11,IF($A39=1,IF('Premissas'!$B$12="Sim",0,H39),O38+IF('Premissas'!$B$12="Sim",0,H39)),"")</x:f>
        <x:v>0</x:v>
      </x:c>
      <x:c r="P39" s="81" t="n">
        <x:f>IF($A39&lt;='Premissas'!$B$11,IF(M39=0,0,(L39+O39)/M39-1),"")</x:f>
        <x:v>0.24732237383077993</x:v>
      </x:c>
      <x:c r="Q39" s="84" t="str">
        <x:f>IF($A39&lt;='Premissas'!$B$11,"Ativo","Fora")</x:f>
        <x:v>Ativo</x:v>
      </x:c>
    </x:row>
    <x:row r="40">
      <x:c r="A40" s="66" t="n">
        <x:v>37</x:v>
      </x:c>
      <x:c r="B40" s="69" t="n">
        <x:f>IF($A40&lt;='Premissas'!$B$11,EDATE('Premissas'!$B$13,$A40-1),"")</x:f>
        <x:v>47362</x:v>
      </x:c>
      <x:c r="C40" s="72" t="n">
        <x:f>IF($A40&lt;='Premissas'!$B$11,'Premissas'!$B$8*(1+'Premissas'!$B$10)^($A40-1),"")</x:f>
        <x:v>107.45780746694791</x:v>
      </x:c>
      <x:c r="D40" s="75" t="n">
        <x:f>IF($A40&lt;='Premissas'!$B$11,IF($A40=1,'Premissas'!$B$6/'Premissas'!$B$8,K39),"")</x:f>
        <x:v>535.0154093949078</x:v>
      </x:c>
      <x:c r="E40" s="78" t="n">
        <x:f>IF($A40&lt;='Premissas'!$B$11,'Premissas'!$B$7,"")</x:f>
        <x:v>1000</x:v>
      </x:c>
      <x:c r="F40" s="78" t="n">
        <x:f>IF($A40&lt;='Premissas'!$B$11,D40*C40*'Premissas'!$B$9,"")</x:f>
        <x:v>459.9326628368666</x:v>
      </x:c>
      <x:c r="G40" s="78" t="n">
        <x:f>IF($A40&lt;='Premissas'!$B$11,D40*C40*'Premissas'!$B$14,"")</x:f>
        <x:v>0</x:v>
      </x:c>
      <x:c r="H40" s="78" t="n">
        <x:f>IF($A40&lt;='Premissas'!$B$11,MAX(F40-G40,0),"")</x:f>
        <x:v>459.9326628368666</x:v>
      </x:c>
      <x:c r="I40" s="78" t="n">
        <x:f>IF($A40&lt;='Premissas'!$B$11,IF('Premissas'!$B$12="Sim",H40,0),"")</x:f>
        <x:v>459.9326628368666</x:v>
      </x:c>
      <x:c r="J40" s="75" t="n">
        <x:f>IF($A40&lt;='Premissas'!$B$11,(E40+I40)/C40,"")</x:f>
        <x:v>13.586101347600227</x:v>
      </x:c>
      <x:c r="K40" s="75" t="n">
        <x:f>IF($A40&lt;='Premissas'!$B$11,D40+J40,"")</x:f>
        <x:v>548.601510742508</x:v>
      </x:c>
      <x:c r="L40" s="78" t="n">
        <x:f>IF($A40&lt;='Premissas'!$B$11,K40*C40,"")</x:f>
        <x:v>58951.51551744519</x:v>
      </x:c>
      <x:c r="M40" s="78" t="n">
        <x:f>IF($A40&lt;='Premissas'!$B$11,IF($A40=1,'Premissas'!$B$6+E40,M39+E40),"")</x:f>
        <x:v>47000</x:v>
      </x:c>
      <x:c r="N40" s="78" t="n">
        <x:f>IF($A40&lt;='Premissas'!$B$11,IF($A40=1,H40,N39+H40),"")</x:f>
        <x:v>9581.005230415392</x:v>
      </x:c>
      <x:c r="O40" s="78" t="n">
        <x:f>IF($A40&lt;='Premissas'!$B$11,IF($A40=1,IF('Premissas'!$B$12="Sim",0,H40),O39+IF('Premissas'!$B$12="Sim",0,H40)),"")</x:f>
        <x:v>0</x:v>
      </x:c>
      <x:c r="P40" s="81" t="n">
        <x:f>IF($A40&lt;='Premissas'!$B$11,IF(M40=0,0,(L40+O40)/M40-1),"")</x:f>
        <x:v>0.25428756420096144</x:v>
      </x:c>
      <x:c r="Q40" s="84" t="str">
        <x:f>IF($A40&lt;='Premissas'!$B$11,"Ativo","Fora")</x:f>
        <x:v>Ativo</x:v>
      </x:c>
    </x:row>
    <x:row r="41">
      <x:c r="A41" s="66" t="n">
        <x:v>38</x:v>
      </x:c>
      <x:c r="B41" s="69" t="n">
        <x:f>IF($A41&lt;='Premissas'!$B$11,EDATE('Premissas'!$B$13,$A41-1),"")</x:f>
        <x:v>47392</x:v>
      </x:c>
      <x:c r="C41" s="72" t="n">
        <x:f>IF($A41&lt;='Premissas'!$B$11,'Premissas'!$B$8*(1+'Premissas'!$B$10)^($A41-1),"")</x:f>
        <x:v>107.6727230818818</x:v>
      </x:c>
      <x:c r="D41" s="75" t="n">
        <x:f>IF($A41&lt;='Premissas'!$B$11,IF($A41=1,'Premissas'!$B$6/'Premissas'!$B$8,K40),"")</x:f>
        <x:v>548.601510742508</x:v>
      </x:c>
      <x:c r="E41" s="78" t="n">
        <x:f>IF($A41&lt;='Premissas'!$B$11,'Premissas'!$B$7,"")</x:f>
        <x:v>1000</x:v>
      </x:c>
      <x:c r="F41" s="78" t="n">
        <x:f>IF($A41&lt;='Premissas'!$B$11,D41*C41*'Premissas'!$B$9,"")</x:f>
        <x:v>472.5553483878406</x:v>
      </x:c>
      <x:c r="G41" s="78" t="n">
        <x:f>IF($A41&lt;='Premissas'!$B$11,D41*C41*'Premissas'!$B$14,"")</x:f>
        <x:v>0</x:v>
      </x:c>
      <x:c r="H41" s="78" t="n">
        <x:f>IF($A41&lt;='Premissas'!$B$11,MAX(F41-G41,0),"")</x:f>
        <x:v>472.5553483878406</x:v>
      </x:c>
      <x:c r="I41" s="78" t="n">
        <x:f>IF($A41&lt;='Premissas'!$B$11,IF('Premissas'!$B$12="Sim",H41,0),"")</x:f>
        <x:v>472.5553483878406</x:v>
      </x:c>
      <x:c r="J41" s="75" t="n">
        <x:f>IF($A41&lt;='Premissas'!$B$11,(E41+I41)/C41,"")</x:f>
        <x:v>13.67621535184921</x:v>
      </x:c>
      <x:c r="K41" s="75" t="n">
        <x:f>IF($A41&lt;='Premissas'!$B$11,D41+J41,"")</x:f>
        <x:v>562.2777260943573</x:v>
      </x:c>
      <x:c r="L41" s="78" t="n">
        <x:f>IF($A41&lt;='Premissas'!$B$11,K41*C41,"")</x:f>
        <x:v>60541.973896867916</x:v>
      </x:c>
      <x:c r="M41" s="78" t="n">
        <x:f>IF($A41&lt;='Premissas'!$B$11,IF($A41=1,'Premissas'!$B$6+E41,M40+E41),"")</x:f>
        <x:v>48000</x:v>
      </x:c>
      <x:c r="N41" s="78" t="n">
        <x:f>IF($A41&lt;='Premissas'!$B$11,IF($A41=1,H41,N40+H41),"")</x:f>
        <x:v>10053.560578803234</x:v>
      </x:c>
      <x:c r="O41" s="78" t="n">
        <x:f>IF($A41&lt;='Premissas'!$B$11,IF($A41=1,IF('Premissas'!$B$12="Sim",0,H41),O40+IF('Premissas'!$B$12="Sim",0,H41)),"")</x:f>
        <x:v>0</x:v>
      </x:c>
      <x:c r="P41" s="81" t="n">
        <x:f>IF($A41&lt;='Premissas'!$B$11,IF(M41=0,0,(L41+O41)/M41-1),"")</x:f>
        <x:v>0.261291122851415</x:v>
      </x:c>
      <x:c r="Q41" s="84" t="str">
        <x:f>IF($A41&lt;='Premissas'!$B$11,"Ativo","Fora")</x:f>
        <x:v>Ativo</x:v>
      </x:c>
    </x:row>
    <x:row r="42">
      <x:c r="A42" s="66" t="n">
        <x:v>39</x:v>
      </x:c>
      <x:c r="B42" s="69" t="n">
        <x:f>IF($A42&lt;='Premissas'!$B$11,EDATE('Premissas'!$B$13,$A42-1),"")</x:f>
        <x:v>47423</x:v>
      </x:c>
      <x:c r="C42" s="72" t="n">
        <x:f>IF($A42&lt;='Premissas'!$B$11,'Premissas'!$B$8*(1+'Premissas'!$B$10)^($A42-1),"")</x:f>
        <x:v>107.88806852804555</x:v>
      </x:c>
      <x:c r="D42" s="75" t="n">
        <x:f>IF($A42&lt;='Premissas'!$B$11,IF($A42=1,'Premissas'!$B$6/'Premissas'!$B$8,K41),"")</x:f>
        <x:v>562.2777260943573</x:v>
      </x:c>
      <x:c r="E42" s="78" t="n">
        <x:f>IF($A42&lt;='Premissas'!$B$11,'Premissas'!$B$7,"")</x:f>
        <x:v>1000</x:v>
      </x:c>
      <x:c r="F42" s="78" t="n">
        <x:f>IF($A42&lt;='Premissas'!$B$11,D42*C42*'Premissas'!$B$9,"")</x:f>
        <x:v>485.30446275729315</x:v>
      </x:c>
      <x:c r="G42" s="78" t="n">
        <x:f>IF($A42&lt;='Premissas'!$B$11,D42*C42*'Premissas'!$B$14,"")</x:f>
        <x:v>0</x:v>
      </x:c>
      <x:c r="H42" s="78" t="n">
        <x:f>IF($A42&lt;='Premissas'!$B$11,MAX(F42-G42,0),"")</x:f>
        <x:v>485.30446275729315</x:v>
      </x:c>
      <x:c r="I42" s="78" t="n">
        <x:f>IF($A42&lt;='Premissas'!$B$11,IF('Premissas'!$B$12="Sim",H42,0),"")</x:f>
        <x:v>485.30446275729315</x:v>
      </x:c>
      <x:c r="J42" s="75" t="n">
        <x:f>IF($A42&lt;='Premissas'!$B$11,(E42+I42)/C42,"")</x:f>
        <x:v>13.767087343594325</x:v>
      </x:c>
      <x:c r="K42" s="75" t="n">
        <x:f>IF($A42&lt;='Premissas'!$B$11,D42+J42,"")</x:f>
        <x:v>576.0448134379516</x:v>
      </x:c>
      <x:c r="L42" s="78" t="n">
        <x:f>IF($A42&lt;='Premissas'!$B$11,K42*C42,"")</x:f>
        <x:v>62148.36230741893</x:v>
      </x:c>
      <x:c r="M42" s="78" t="n">
        <x:f>IF($A42&lt;='Premissas'!$B$11,IF($A42=1,'Premissas'!$B$6+E42,M41+E42),"")</x:f>
        <x:v>49000</x:v>
      </x:c>
      <x:c r="N42" s="78" t="n">
        <x:f>IF($A42&lt;='Premissas'!$B$11,IF($A42=1,H42,N41+H42),"")</x:f>
        <x:v>10538.865041560526</x:v>
      </x:c>
      <x:c r="O42" s="78" t="n">
        <x:f>IF($A42&lt;='Premissas'!$B$11,IF($A42=1,IF('Premissas'!$B$12="Sim",0,H42),O41+IF('Premissas'!$B$12="Sim",0,H42)),"")</x:f>
        <x:v>0</x:v>
      </x:c>
      <x:c r="P42" s="81" t="n">
        <x:f>IF($A42&lt;='Premissas'!$B$11,IF(M42=0,0,(L42+O42)/M42-1),"")</x:f>
        <x:v>0.26833392464120265</x:v>
      </x:c>
      <x:c r="Q42" s="84" t="str">
        <x:f>IF($A42&lt;='Premissas'!$B$11,"Ativo","Fora")</x:f>
        <x:v>Ativo</x:v>
      </x:c>
    </x:row>
    <x:row r="43">
      <x:c r="A43" s="66" t="n">
        <x:v>40</x:v>
      </x:c>
      <x:c r="B43" s="69" t="n">
        <x:f>IF($A43&lt;='Premissas'!$B$11,EDATE('Premissas'!$B$13,$A43-1),"")</x:f>
        <x:v>47453</x:v>
      </x:c>
      <x:c r="C43" s="72" t="n">
        <x:f>IF($A43&lt;='Premissas'!$B$11,'Premissas'!$B$8*(1+'Premissas'!$B$10)^($A43-1),"")</x:f>
        <x:v>108.10384466510166</x:v>
      </x:c>
      <x:c r="D43" s="75" t="n">
        <x:f>IF($A43&lt;='Premissas'!$B$11,IF($A43=1,'Premissas'!$B$6/'Premissas'!$B$8,K42),"")</x:f>
        <x:v>576.0448134379516</x:v>
      </x:c>
      <x:c r="E43" s="78" t="n">
        <x:f>IF($A43&lt;='Premissas'!$B$11,'Premissas'!$B$7,"")</x:f>
        <x:v>1000</x:v>
      </x:c>
      <x:c r="F43" s="78" t="n">
        <x:f>IF($A43&lt;='Premissas'!$B$11,D43*C43*'Premissas'!$B$9,"")</x:f>
        <x:v>498.1812722562703</x:v>
      </x:c>
      <x:c r="G43" s="78" t="n">
        <x:f>IF($A43&lt;='Premissas'!$B$11,D43*C43*'Premissas'!$B$14,"")</x:f>
        <x:v>0</x:v>
      </x:c>
      <x:c r="H43" s="78" t="n">
        <x:f>IF($A43&lt;='Premissas'!$B$11,MAX(F43-G43,0),"")</x:f>
        <x:v>498.1812722562703</x:v>
      </x:c>
      <x:c r="I43" s="78" t="n">
        <x:f>IF($A43&lt;='Premissas'!$B$11,IF('Premissas'!$B$12="Sim",H43,0),"")</x:f>
        <x:v>498.1812722562703</x:v>
      </x:c>
      <x:c r="J43" s="75" t="n">
        <x:f>IF($A43&lt;='Premissas'!$B$11,(E43+I43)/C43,"")</x:f>
        <x:v>13.858723312732621</x:v>
      </x:c>
      <x:c r="K43" s="75" t="n">
        <x:f>IF($A43&lt;='Premissas'!$B$11,D43+J43,"")</x:f>
        <x:v>589.9035367506842</x:v>
      </x:c>
      <x:c r="L43" s="78" t="n">
        <x:f>IF($A43&lt;='Premissas'!$B$11,K43*C43,"")</x:f>
        <x:v>63770.84030429005</x:v>
      </x:c>
      <x:c r="M43" s="78" t="n">
        <x:f>IF($A43&lt;='Premissas'!$B$11,IF($A43=1,'Premissas'!$B$6+E43,M42+E43),"")</x:f>
        <x:v>50000</x:v>
      </x:c>
      <x:c r="N43" s="78" t="n">
        <x:f>IF($A43&lt;='Premissas'!$B$11,IF($A43=1,H43,N42+H43),"")</x:f>
        <x:v>11037.046313816796</x:v>
      </x:c>
      <x:c r="O43" s="78" t="n">
        <x:f>IF($A43&lt;='Premissas'!$B$11,IF($A43=1,IF('Premissas'!$B$12="Sim",0,H43),O42+IF('Premissas'!$B$12="Sim",0,H43)),"")</x:f>
        <x:v>0</x:v>
      </x:c>
      <x:c r="P43" s="81" t="n">
        <x:f>IF($A43&lt;='Premissas'!$B$11,IF(M43=0,0,(L43+O43)/M43-1),"")</x:f>
        <x:v>0.2754168060858011</x:v>
      </x:c>
      <x:c r="Q43" s="84" t="str">
        <x:f>IF($A43&lt;='Premissas'!$B$11,"Ativo","Fora")</x:f>
        <x:v>Ativo</x:v>
      </x:c>
    </x:row>
    <x:row r="44">
      <x:c r="A44" s="66" t="n">
        <x:v>41</x:v>
      </x:c>
      <x:c r="B44" s="69" t="n">
        <x:f>IF($A44&lt;='Premissas'!$B$11,EDATE('Premissas'!$B$13,$A44-1),"")</x:f>
        <x:v>47484</x:v>
      </x:c>
      <x:c r="C44" s="72" t="n">
        <x:f>IF($A44&lt;='Premissas'!$B$11,'Premissas'!$B$8*(1+'Premissas'!$B$10)^($A44-1),"")</x:f>
        <x:v>108.32005235443185</x:v>
      </x:c>
      <x:c r="D44" s="75" t="n">
        <x:f>IF($A44&lt;='Premissas'!$B$11,IF($A44=1,'Premissas'!$B$6/'Premissas'!$B$8,K43),"")</x:f>
        <x:v>589.9035367506842</x:v>
      </x:c>
      <x:c r="E44" s="78" t="n">
        <x:f>IF($A44&lt;='Premissas'!$B$11,'Premissas'!$B$7,"")</x:f>
        <x:v>1000</x:v>
      </x:c>
      <x:c r="F44" s="78" t="n">
        <x:f>IF($A44&lt;='Premissas'!$B$11,D44*C44*'Premissas'!$B$9,"")</x:f>
        <x:v>511.1870558791891</x:v>
      </x:c>
      <x:c r="G44" s="78" t="n">
        <x:f>IF($A44&lt;='Premissas'!$B$11,D44*C44*'Premissas'!$B$14,"")</x:f>
        <x:v>0</x:v>
      </x:c>
      <x:c r="H44" s="78" t="n">
        <x:f>IF($A44&lt;='Premissas'!$B$11,MAX(F44-G44,0),"")</x:f>
        <x:v>511.1870558791891</x:v>
      </x:c>
      <x:c r="I44" s="78" t="n">
        <x:f>IF($A44&lt;='Premissas'!$B$11,IF('Premissas'!$B$12="Sim",H44,0),"")</x:f>
        <x:v>511.1870558791891</x:v>
      </x:c>
      <x:c r="J44" s="75" t="n">
        <x:f>IF($A44&lt;='Premissas'!$B$11,(E44+I44)/C44,"")</x:f>
        <x:v>13.951129297228038</x:v>
      </x:c>
      <x:c r="K44" s="75" t="n">
        <x:f>IF($A44&lt;='Premissas'!$B$11,D44+J44,"")</x:f>
        <x:v>603.8546660479122</x:v>
      </x:c>
      <x:c r="L44" s="78" t="n">
        <x:f>IF($A44&lt;='Premissas'!$B$11,K44*C44,"")</x:f>
        <x:v>65409.56904077782</x:v>
      </x:c>
      <x:c r="M44" s="78" t="n">
        <x:f>IF($A44&lt;='Premissas'!$B$11,IF($A44=1,'Premissas'!$B$6+E44,M43+E44),"")</x:f>
        <x:v>51000</x:v>
      </x:c>
      <x:c r="N44" s="78" t="n">
        <x:f>IF($A44&lt;='Premissas'!$B$11,IF($A44=1,H44,N43+H44),"")</x:f>
        <x:v>11548.233369695985</x:v>
      </x:c>
      <x:c r="O44" s="78" t="n">
        <x:f>IF($A44&lt;='Premissas'!$B$11,IF($A44=1,IF('Premissas'!$B$12="Sim",0,H44),O43+IF('Premissas'!$B$12="Sim",0,H44)),"")</x:f>
        <x:v>0</x:v>
      </x:c>
      <x:c r="P44" s="81" t="n">
        <x:f>IF($A44&lt;='Premissas'!$B$11,IF(M44=0,0,(L44+O44)/M44-1),"")</x:f>
        <x:v>0.282540569427016</x:v>
      </x:c>
      <x:c r="Q44" s="84" t="str">
        <x:f>IF($A44&lt;='Premissas'!$B$11,"Ativo","Fora")</x:f>
        <x:v>Ativo</x:v>
      </x:c>
    </x:row>
    <x:row r="45">
      <x:c r="A45" s="66" t="n">
        <x:v>42</x:v>
      </x:c>
      <x:c r="B45" s="69" t="n">
        <x:f>IF($A45&lt;='Premissas'!$B$11,EDATE('Premissas'!$B$13,$A45-1),"")</x:f>
        <x:v>47515</x:v>
      </x:c>
      <x:c r="C45" s="72" t="n">
        <x:f>IF($A45&lt;='Premissas'!$B$11,'Premissas'!$B$8*(1+'Premissas'!$B$10)^($A45-1),"")</x:f>
        <x:v>108.53669245914072</x:v>
      </x:c>
      <x:c r="D45" s="75" t="n">
        <x:f>IF($A45&lt;='Premissas'!$B$11,IF($A45=1,'Premissas'!$B$6/'Premissas'!$B$8,K44),"")</x:f>
        <x:v>603.8546660479122</x:v>
      </x:c>
      <x:c r="E45" s="78" t="n">
        <x:f>IF($A45&lt;='Premissas'!$B$11,'Premissas'!$B$7,"")</x:f>
        <x:v>1000</x:v>
      </x:c>
      <x:c r="F45" s="78" t="n">
        <x:f>IF($A45&lt;='Premissas'!$B$11,D45*C45*'Premissas'!$B$9,"")</x:f>
        <x:v>524.323105430875</x:v>
      </x:c>
      <x:c r="G45" s="78" t="n">
        <x:f>IF($A45&lt;='Premissas'!$B$11,D45*C45*'Premissas'!$B$14,"")</x:f>
        <x:v>0</x:v>
      </x:c>
      <x:c r="H45" s="78" t="n">
        <x:f>IF($A45&lt;='Premissas'!$B$11,MAX(F45-G45,0),"")</x:f>
        <x:v>524.323105430875</x:v>
      </x:c>
      <x:c r="I45" s="78" t="n">
        <x:f>IF($A45&lt;='Premissas'!$B$11,IF('Premissas'!$B$12="Sim",H45,0),"")</x:f>
        <x:v>524.323105430875</x:v>
      </x:c>
      <x:c r="J45" s="75" t="n">
        <x:f>IF($A45&lt;='Premissas'!$B$11,(E45+I45)/C45,"")</x:f>
        <x:v>14.044311383495634</x:v>
      </x:c>
      <x:c r="K45" s="75" t="n">
        <x:f>IF($A45&lt;='Premissas'!$B$11,D45+J45,"")</x:f>
        <x:v>617.8989774314078</x:v>
      </x:c>
      <x:c r="L45" s="78" t="n">
        <x:f>IF($A45&lt;='Premissas'!$B$11,K45*C45,"")</x:f>
        <x:v>67064.71128429024</x:v>
      </x:c>
      <x:c r="M45" s="78" t="n">
        <x:f>IF($A45&lt;='Premissas'!$B$11,IF($A45=1,'Premissas'!$B$6+E45,M44+E45),"")</x:f>
        <x:v>52000</x:v>
      </x:c>
      <x:c r="N45" s="78" t="n">
        <x:f>IF($A45&lt;='Premissas'!$B$11,IF($A45=1,H45,N44+H45),"")</x:f>
        <x:v>12072.55647512686</x:v>
      </x:c>
      <x:c r="O45" s="78" t="n">
        <x:f>IF($A45&lt;='Premissas'!$B$11,IF($A45=1,IF('Premissas'!$B$12="Sim",0,H45),O44+IF('Premissas'!$B$12="Sim",0,H45)),"")</x:f>
        <x:v>0</x:v>
      </x:c>
      <x:c r="P45" s="81" t="n">
        <x:f>IF($A45&lt;='Premissas'!$B$11,IF(M45=0,0,(L45+O45)/M45-1),"")</x:f>
        <x:v>0.2897059862363509</x:v>
      </x:c>
      <x:c r="Q45" s="84" t="str">
        <x:f>IF($A45&lt;='Premissas'!$B$11,"Ativo","Fora")</x:f>
        <x:v>Ativo</x:v>
      </x:c>
    </x:row>
    <x:row r="46">
      <x:c r="A46" s="66" t="n">
        <x:v>43</x:v>
      </x:c>
      <x:c r="B46" s="69" t="n">
        <x:f>IF($A46&lt;='Premissas'!$B$11,EDATE('Premissas'!$B$13,$A46-1),"")</x:f>
        <x:v>47543</x:v>
      </x:c>
      <x:c r="C46" s="72" t="n">
        <x:f>IF($A46&lt;='Premissas'!$B$11,'Premissas'!$B$8*(1+'Premissas'!$B$10)^($A46-1),"")</x:f>
        <x:v>108.753765844059</x:v>
      </x:c>
      <x:c r="D46" s="75" t="n">
        <x:f>IF($A46&lt;='Premissas'!$B$11,IF($A46=1,'Premissas'!$B$6/'Premissas'!$B$8,K45),"")</x:f>
        <x:v>617.8989774314078</x:v>
      </x:c>
      <x:c r="E46" s="78" t="n">
        <x:f>IF($A46&lt;='Premissas'!$B$11,'Premissas'!$B$7,"")</x:f>
        <x:v>1000</x:v>
      </x:c>
      <x:c r="F46" s="78" t="n">
        <x:f>IF($A46&lt;='Premissas'!$B$11,D46*C46*'Premissas'!$B$9,"")</x:f>
        <x:v>537.5907256548707</x:v>
      </x:c>
      <x:c r="G46" s="78" t="n">
        <x:f>IF($A46&lt;='Premissas'!$B$11,D46*C46*'Premissas'!$B$14,"")</x:f>
        <x:v>0</x:v>
      </x:c>
      <x:c r="H46" s="78" t="n">
        <x:f>IF($A46&lt;='Premissas'!$B$11,MAX(F46-G46,0),"")</x:f>
        <x:v>537.5907256548707</x:v>
      </x:c>
      <x:c r="I46" s="78" t="n">
        <x:f>IF($A46&lt;='Premissas'!$B$11,IF('Premissas'!$B$12="Sim",H46,0),"")</x:f>
        <x:v>537.5907256548707</x:v>
      </x:c>
      <x:c r="J46" s="75" t="n">
        <x:f>IF($A46&lt;='Premissas'!$B$11,(E46+I46)/C46,"")</x:f>
        <x:v>14.138275706788926</x:v>
      </x:c>
      <x:c r="K46" s="75" t="n">
        <x:f>IF($A46&lt;='Premissas'!$B$11,D46+J46,"")</x:f>
        <x:v>632.0372531381968</x:v>
      </x:c>
      <x:c r="L46" s="78" t="n">
        <x:f>IF($A46&lt;='Premissas'!$B$11,K46*C46,"")</x:f>
        <x:v>68736.4314325137</x:v>
      </x:c>
      <x:c r="M46" s="78" t="n">
        <x:f>IF($A46&lt;='Premissas'!$B$11,IF($A46=1,'Premissas'!$B$6+E46,M45+E46),"")</x:f>
        <x:v>53000</x:v>
      </x:c>
      <x:c r="N46" s="78" t="n">
        <x:f>IF($A46&lt;='Premissas'!$B$11,IF($A46=1,H46,N45+H46),"")</x:f>
        <x:v>12610.14720078173</x:v>
      </x:c>
      <x:c r="O46" s="78" t="n">
        <x:f>IF($A46&lt;='Premissas'!$B$11,IF($A46=1,IF('Premissas'!$B$12="Sim",0,H46),O45+IF('Premissas'!$B$12="Sim",0,H46)),"")</x:f>
        <x:v>0</x:v>
      </x:c>
      <x:c r="P46" s="81" t="n">
        <x:f>IF($A46&lt;='Premissas'!$B$11,IF(M46=0,0,(L46+O46)/M46-1),"")</x:f>
        <x:v>0.29691380061346595</x:v>
      </x:c>
      <x:c r="Q46" s="84" t="str">
        <x:f>IF($A46&lt;='Premissas'!$B$11,"Ativo","Fora")</x:f>
        <x:v>Ativo</x:v>
      </x:c>
    </x:row>
    <x:row r="47">
      <x:c r="A47" s="66" t="n">
        <x:v>44</x:v>
      </x:c>
      <x:c r="B47" s="69" t="n">
        <x:f>IF($A47&lt;='Premissas'!$B$11,EDATE('Premissas'!$B$13,$A47-1),"")</x:f>
        <x:v>47574</x:v>
      </x:c>
      <x:c r="C47" s="72" t="n">
        <x:f>IF($A47&lt;='Premissas'!$B$11,'Premissas'!$B$8*(1+'Premissas'!$B$10)^($A47-1),"")</x:f>
        <x:v>108.97127337574713</x:v>
      </x:c>
      <x:c r="D47" s="75" t="n">
        <x:f>IF($A47&lt;='Premissas'!$B$11,IF($A47=1,'Premissas'!$B$6/'Premissas'!$B$8,K46),"")</x:f>
        <x:v>632.0372531381968</x:v>
      </x:c>
      <x:c r="E47" s="78" t="n">
        <x:f>IF($A47&lt;='Premissas'!$B$11,'Premissas'!$B$7,"")</x:f>
        <x:v>1000</x:v>
      </x:c>
      <x:c r="F47" s="78" t="n">
        <x:f>IF($A47&lt;='Premissas'!$B$11,D47*C47*'Premissas'!$B$9,"")</x:f>
        <x:v>550.9912343630299</x:v>
      </x:c>
      <x:c r="G47" s="78" t="n">
        <x:f>IF($A47&lt;='Premissas'!$B$11,D47*C47*'Premissas'!$B$14,"")</x:f>
        <x:v>0</x:v>
      </x:c>
      <x:c r="H47" s="78" t="n">
        <x:f>IF($A47&lt;='Premissas'!$B$11,MAX(F47-G47,0),"")</x:f>
        <x:v>550.9912343630299</x:v>
      </x:c>
      <x:c r="I47" s="78" t="n">
        <x:f>IF($A47&lt;='Premissas'!$B$11,IF('Premissas'!$B$12="Sim",H47,0),"")</x:f>
        <x:v>550.9912343630299</x:v>
      </x:c>
      <x:c r="J47" s="75" t="n">
        <x:f>IF($A47&lt;='Premissas'!$B$11,(E47+I47)/C47,"")</x:f>
        <x:v>14.233028451590267</x:v>
      </x:c>
      <x:c r="K47" s="75" t="n">
        <x:f>IF($A47&lt;='Premissas'!$B$11,D47+J47,"")</x:f>
        <x:v>646.270281589787</x:v>
      </x:c>
      <x:c r="L47" s="78" t="n">
        <x:f>IF($A47&lt;='Premissas'!$B$11,K47*C47,"")</x:f>
        <x:v>70424.89552974176</x:v>
      </x:c>
      <x:c r="M47" s="78" t="n">
        <x:f>IF($A47&lt;='Premissas'!$B$11,IF($A47=1,'Premissas'!$B$6+E47,M46+E47),"")</x:f>
        <x:v>54000</x:v>
      </x:c>
      <x:c r="N47" s="78" t="n">
        <x:f>IF($A47&lt;='Premissas'!$B$11,IF($A47=1,H47,N46+H47),"")</x:f>
        <x:v>13161.13843514476</x:v>
      </x:c>
      <x:c r="O47" s="78" t="n">
        <x:f>IF($A47&lt;='Premissas'!$B$11,IF($A47=1,IF('Premissas'!$B$12="Sim",0,H47),O46+IF('Premissas'!$B$12="Sim",0,H47)),"")</x:f>
        <x:v>0</x:v>
      </x:c>
      <x:c r="P47" s="81" t="n">
        <x:f>IF($A47&lt;='Premissas'!$B$11,IF(M47=0,0,(L47+O47)/M47-1),"")</x:f>
        <x:v>0.3041647320322547</x:v>
      </x:c>
      <x:c r="Q47" s="84" t="str">
        <x:f>IF($A47&lt;='Premissas'!$B$11,"Ativo","Fora")</x:f>
        <x:v>Ativo</x:v>
      </x:c>
    </x:row>
    <x:row r="48">
      <x:c r="A48" s="66" t="n">
        <x:v>45</x:v>
      </x:c>
      <x:c r="B48" s="69" t="n">
        <x:f>IF($A48&lt;='Premissas'!$B$11,EDATE('Premissas'!$B$13,$A48-1),"")</x:f>
        <x:v>47604</x:v>
      </x:c>
      <x:c r="C48" s="72" t="n">
        <x:f>IF($A48&lt;='Premissas'!$B$11,'Premissas'!$B$8*(1+'Premissas'!$B$10)^($A48-1),"")</x:f>
        <x:v>109.18921592249862</x:v>
      </x:c>
      <x:c r="D48" s="75" t="n">
        <x:f>IF($A48&lt;='Premissas'!$B$11,IF($A48=1,'Premissas'!$B$6/'Premissas'!$B$8,K47),"")</x:f>
        <x:v>646.270281589787</x:v>
      </x:c>
      <x:c r="E48" s="78" t="n">
        <x:f>IF($A48&lt;='Premissas'!$B$11,'Premissas'!$B$7,"")</x:f>
        <x:v>1000</x:v>
      </x:c>
      <x:c r="F48" s="78" t="n">
        <x:f>IF($A48&lt;='Premissas'!$B$11,D48*C48*'Premissas'!$B$9,"")</x:f>
        <x:v>564.5259625664099</x:v>
      </x:c>
      <x:c r="G48" s="78" t="n">
        <x:f>IF($A48&lt;='Premissas'!$B$11,D48*C48*'Premissas'!$B$14,"")</x:f>
        <x:v>0</x:v>
      </x:c>
      <x:c r="H48" s="78" t="n">
        <x:f>IF($A48&lt;='Premissas'!$B$11,MAX(F48-G48,0),"")</x:f>
        <x:v>564.5259625664099</x:v>
      </x:c>
      <x:c r="I48" s="78" t="n">
        <x:f>IF($A48&lt;='Premissas'!$B$11,IF('Premissas'!$B$12="Sim",H48,0),"")</x:f>
        <x:v>564.5259625664099</x:v>
      </x:c>
      <x:c r="J48" s="75" t="n">
        <x:f>IF($A48&lt;='Premissas'!$B$11,(E48+I48)/C48,"")</x:f>
        <x:v>14.328575852004416</x:v>
      </x:c>
      <x:c r="K48" s="75" t="n">
        <x:f>IF($A48&lt;='Premissas'!$B$11,D48+J48,"")</x:f>
        <x:v>660.5988574417914</x:v>
      </x:c>
      <x:c r="L48" s="78" t="n">
        <x:f>IF($A48&lt;='Premissas'!$B$11,K48*C48,"")</x:f>
        <x:v>72130.27128336765</x:v>
      </x:c>
      <x:c r="M48" s="78" t="n">
        <x:f>IF($A48&lt;='Premissas'!$B$11,IF($A48=1,'Premissas'!$B$6+E48,M47+E48),"")</x:f>
        <x:v>55000</x:v>
      </x:c>
      <x:c r="N48" s="78" t="n">
        <x:f>IF($A48&lt;='Premissas'!$B$11,IF($A48=1,H48,N47+H48),"")</x:f>
        <x:v>13725.664397711169</x:v>
      </x:c>
      <x:c r="O48" s="78" t="n">
        <x:f>IF($A48&lt;='Premissas'!$B$11,IF($A48=1,IF('Premissas'!$B$12="Sim",0,H48),O47+IF('Premissas'!$B$12="Sim",0,H48)),"")</x:f>
        <x:v>0</x:v>
      </x:c>
      <x:c r="P48" s="81" t="n">
        <x:f>IF($A48&lt;='Premissas'!$B$11,IF(M48=0,0,(L48+O48)/M48-1),"")</x:f>
        <x:v>0.31145947787941175</x:v>
      </x:c>
      <x:c r="Q48" s="84" t="str">
        <x:f>IF($A48&lt;='Premissas'!$B$11,"Ativo","Fora")</x:f>
        <x:v>Ativo</x:v>
      </x:c>
    </x:row>
    <x:row r="49">
      <x:c r="A49" s="66" t="n">
        <x:v>46</x:v>
      </x:c>
      <x:c r="B49" s="69" t="n">
        <x:f>IF($A49&lt;='Premissas'!$B$11,EDATE('Premissas'!$B$13,$A49-1),"")</x:f>
        <x:v>47635</x:v>
      </x:c>
      <x:c r="C49" s="72" t="n">
        <x:f>IF($A49&lt;='Premissas'!$B$11,'Premissas'!$B$8*(1+'Premissas'!$B$10)^($A49-1),"")</x:f>
        <x:v>109.40759435434362</x:v>
      </x:c>
      <x:c r="D49" s="75" t="n">
        <x:f>IF($A49&lt;='Premissas'!$B$11,IF($A49=1,'Premissas'!$B$6/'Premissas'!$B$8,K48),"")</x:f>
        <x:v>660.5988574417914</x:v>
      </x:c>
      <x:c r="E49" s="78" t="n">
        <x:f>IF($A49&lt;='Premissas'!$B$11,'Premissas'!$B$7,"")</x:f>
        <x:v>1000</x:v>
      </x:c>
      <x:c r="F49" s="78" t="n">
        <x:f>IF($A49&lt;='Premissas'!$B$11,D49*C49*'Premissas'!$B$9,"")</x:f>
        <x:v>578.196254607475</x:v>
      </x:c>
      <x:c r="G49" s="78" t="n">
        <x:f>IF($A49&lt;='Premissas'!$B$11,D49*C49*'Premissas'!$B$14,"")</x:f>
        <x:v>0</x:v>
      </x:c>
      <x:c r="H49" s="78" t="n">
        <x:f>IF($A49&lt;='Premissas'!$B$11,MAX(F49-G49,0),"")</x:f>
        <x:v>578.196254607475</x:v>
      </x:c>
      <x:c r="I49" s="78" t="n">
        <x:f>IF($A49&lt;='Premissas'!$B$11,IF('Premissas'!$B$12="Sim",H49,0),"")</x:f>
        <x:v>578.196254607475</x:v>
      </x:c>
      <x:c r="J49" s="75" t="n">
        <x:f>IF($A49&lt;='Premissas'!$B$11,(E49+I49)/C49,"")</x:f>
        <x:v>14.424924192155212</x:v>
      </x:c>
      <x:c r="K49" s="75" t="n">
        <x:f>IF($A49&lt;='Premissas'!$B$11,D49+J49,"")</x:f>
        <x:v>675.0237816339467</x:v>
      </x:c>
      <x:c r="L49" s="78" t="n">
        <x:f>IF($A49&lt;='Premissas'!$B$11,K49*C49,"")</x:f>
        <x:v>73852.72808054186</x:v>
      </x:c>
      <x:c r="M49" s="78" t="n">
        <x:f>IF($A49&lt;='Premissas'!$B$11,IF($A49=1,'Premissas'!$B$6+E49,M48+E49),"")</x:f>
        <x:v>56000</x:v>
      </x:c>
      <x:c r="N49" s="78" t="n">
        <x:f>IF($A49&lt;='Premissas'!$B$11,IF($A49=1,H49,N48+H49),"")</x:f>
        <x:v>14303.860652318644</x:v>
      </x:c>
      <x:c r="O49" s="78" t="n">
        <x:f>IF($A49&lt;='Premissas'!$B$11,IF($A49=1,IF('Premissas'!$B$12="Sim",0,H49),O48+IF('Premissas'!$B$12="Sim",0,H49)),"")</x:f>
        <x:v>0</x:v>
      </x:c>
      <x:c r="P49" s="81" t="n">
        <x:f>IF($A49&lt;='Premissas'!$B$11,IF(M49=0,0,(L49+O49)/M49-1),"")</x:f>
        <x:v>0.3187987157239618</x:v>
      </x:c>
      <x:c r="Q49" s="84" t="str">
        <x:f>IF($A49&lt;='Premissas'!$B$11,"Ativo","Fora")</x:f>
        <x:v>Ativo</x:v>
      </x:c>
    </x:row>
    <x:row r="50">
      <x:c r="A50" s="66" t="n">
        <x:v>47</x:v>
      </x:c>
      <x:c r="B50" s="69" t="n">
        <x:f>IF($A50&lt;='Premissas'!$B$11,EDATE('Premissas'!$B$13,$A50-1),"")</x:f>
        <x:v>47665</x:v>
      </x:c>
      <x:c r="C50" s="72" t="n">
        <x:f>IF($A50&lt;='Premissas'!$B$11,'Premissas'!$B$8*(1+'Premissas'!$B$10)^($A50-1),"")</x:f>
        <x:v>109.62640954305229</x:v>
      </x:c>
      <x:c r="D50" s="75" t="n">
        <x:f>IF($A50&lt;='Premissas'!$B$11,IF($A50=1,'Premissas'!$B$6/'Premissas'!$B$8,K49),"")</x:f>
        <x:v>675.0237816339467</x:v>
      </x:c>
      <x:c r="E50" s="78" t="n">
        <x:f>IF($A50&lt;='Premissas'!$B$11,'Premissas'!$B$7,"")</x:f>
        <x:v>1000</x:v>
      </x:c>
      <x:c r="F50" s="78" t="n">
        <x:f>IF($A50&lt;='Premissas'!$B$11,D50*C50*'Premissas'!$B$9,"")</x:f>
        <x:v>592.0034682936235</x:v>
      </x:c>
      <x:c r="G50" s="78" t="n">
        <x:f>IF($A50&lt;='Premissas'!$B$11,D50*C50*'Premissas'!$B$14,"")</x:f>
        <x:v>0</x:v>
      </x:c>
      <x:c r="H50" s="78" t="n">
        <x:f>IF($A50&lt;='Premissas'!$B$11,MAX(F50-G50,0),"")</x:f>
        <x:v>592.0034682936235</x:v>
      </x:c>
      <x:c r="I50" s="78" t="n">
        <x:f>IF($A50&lt;='Premissas'!$B$11,IF('Premissas'!$B$12="Sim",H50,0),"")</x:f>
        <x:v>592.0034682936235</x:v>
      </x:c>
      <x:c r="J50" s="75" t="n">
        <x:f>IF($A50&lt;='Premissas'!$B$11,(E50+I50)/C50,"")</x:f>
        <x:v>14.522079806585426</x:v>
      </x:c>
      <x:c r="K50" s="75" t="n">
        <x:f>IF($A50&lt;='Premissas'!$B$11,D50+J50,"")</x:f>
        <x:v>689.5458614405321</x:v>
      </x:c>
      <x:c r="L50" s="78" t="n">
        <x:f>IF($A50&lt;='Premissas'!$B$11,K50*C50,"")</x:f>
        <x:v>75592.43700499657</x:v>
      </x:c>
      <x:c r="M50" s="78" t="n">
        <x:f>IF($A50&lt;='Premissas'!$B$11,IF($A50=1,'Premissas'!$B$6+E50,M49+E50),"")</x:f>
        <x:v>57000</x:v>
      </x:c>
      <x:c r="N50" s="78" t="n">
        <x:f>IF($A50&lt;='Premissas'!$B$11,IF($A50=1,H50,N49+H50),"")</x:f>
        <x:v>14895.864120612268</x:v>
      </x:c>
      <x:c r="O50" s="78" t="n">
        <x:f>IF($A50&lt;='Premissas'!$B$11,IF($A50=1,IF('Premissas'!$B$12="Sim",0,H50),O49+IF('Premissas'!$B$12="Sim",0,H50)),"")</x:f>
        <x:v>0</x:v>
      </x:c>
      <x:c r="P50" s="81" t="n">
        <x:f>IF($A50&lt;='Premissas'!$B$11,IF(M50=0,0,(L50+O50)/M50-1),"")</x:f>
        <x:v>0.32618310535081685</x:v>
      </x:c>
      <x:c r="Q50" s="84" t="str">
        <x:f>IF($A50&lt;='Premissas'!$B$11,"Ativo","Fora")</x:f>
        <x:v>Ativo</x:v>
      </x:c>
    </x:row>
    <x:row r="51">
      <x:c r="A51" s="66" t="n">
        <x:v>48</x:v>
      </x:c>
      <x:c r="B51" s="69" t="n">
        <x:f>IF($A51&lt;='Premissas'!$B$11,EDATE('Premissas'!$B$13,$A51-1),"")</x:f>
        <x:v>47696</x:v>
      </x:c>
      <x:c r="C51" s="72" t="n">
        <x:f>IF($A51&lt;='Premissas'!$B$11,'Premissas'!$B$8*(1+'Premissas'!$B$10)^($A51-1),"")</x:f>
        <x:v>109.84566236213841</x:v>
      </x:c>
      <x:c r="D51" s="75" t="n">
        <x:f>IF($A51&lt;='Premissas'!$B$11,IF($A51=1,'Premissas'!$B$6/'Premissas'!$B$8,K50),"")</x:f>
        <x:v>689.5458614405321</x:v>
      </x:c>
      <x:c r="E51" s="78" t="n">
        <x:f>IF($A51&lt;='Premissas'!$B$11,'Premissas'!$B$7,"")</x:f>
        <x:v>1000</x:v>
      </x:c>
      <x:c r="F51" s="78" t="n">
        <x:f>IF($A51&lt;='Premissas'!$B$11,D51*C51*'Premissas'!$B$9,"")</x:f>
        <x:v>605.9489750320525</x:v>
      </x:c>
      <x:c r="G51" s="78" t="n">
        <x:f>IF($A51&lt;='Premissas'!$B$11,D51*C51*'Premissas'!$B$14,"")</x:f>
        <x:v>0</x:v>
      </x:c>
      <x:c r="H51" s="78" t="n">
        <x:f>IF($A51&lt;='Premissas'!$B$11,MAX(F51-G51,0),"")</x:f>
        <x:v>605.9489750320525</x:v>
      </x:c>
      <x:c r="I51" s="78" t="n">
        <x:f>IF($A51&lt;='Premissas'!$B$11,IF('Premissas'!$B$12="Sim",H51,0),"")</x:f>
        <x:v>605.9489750320525</x:v>
      </x:c>
      <x:c r="J51" s="75" t="n">
        <x:f>IF($A51&lt;='Premissas'!$B$11,(E51+I51)/C51,"")</x:f>
        <x:v>14.620049080659838</x:v>
      </x:c>
      <x:c r="K51" s="75" t="n">
        <x:f>IF($A51&lt;='Premissas'!$B$11,D51+J51,"")</x:f>
        <x:v>704.1659105211919</x:v>
      </x:c>
      <x:c r="L51" s="78" t="n">
        <x:f>IF($A51&lt;='Premissas'!$B$11,K51*C51,"")</x:f>
        <x:v>77349.57085403861</x:v>
      </x:c>
      <x:c r="M51" s="78" t="n">
        <x:f>IF($A51&lt;='Premissas'!$B$11,IF($A51=1,'Premissas'!$B$6+E51,M50+E51),"")</x:f>
        <x:v>58000</x:v>
      </x:c>
      <x:c r="N51" s="78" t="n">
        <x:f>IF($A51&lt;='Premissas'!$B$11,IF($A51=1,H51,N50+H51),"")</x:f>
        <x:v>15501.81309564432</x:v>
      </x:c>
      <x:c r="O51" s="78" t="n">
        <x:f>IF($A51&lt;='Premissas'!$B$11,IF($A51=1,IF('Premissas'!$B$12="Sim",0,H51),O50+IF('Premissas'!$B$12="Sim",0,H51)),"")</x:f>
        <x:v>0</x:v>
      </x:c>
      <x:c r="P51" s="81" t="n">
        <x:f>IF($A51&lt;='Premissas'!$B$11,IF(M51=0,0,(L51+O51)/M51-1),"")</x:f>
        <x:v>0.3336132905868725</x:v>
      </x:c>
      <x:c r="Q51" s="84" t="str">
        <x:f>IF($A51&lt;='Premissas'!$B$11,"Ativo","Fora")</x:f>
        <x:v>Ativo</x:v>
      </x:c>
    </x:row>
    <x:row r="52">
      <x:c r="A52" s="66" t="n">
        <x:v>49</x:v>
      </x:c>
      <x:c r="B52" s="69" t="n">
        <x:f>IF($A52&lt;='Premissas'!$B$11,EDATE('Premissas'!$B$13,$A52-1),"")</x:f>
        <x:v>47727</x:v>
      </x:c>
      <x:c r="C52" s="72" t="n">
        <x:f>IF($A52&lt;='Premissas'!$B$11,'Premissas'!$B$8*(1+'Premissas'!$B$10)^($A52-1),"")</x:f>
        <x:v>110.06535368686268</x:v>
      </x:c>
      <x:c r="D52" s="75" t="n">
        <x:f>IF($A52&lt;='Premissas'!$B$11,IF($A52=1,'Premissas'!$B$6/'Premissas'!$B$8,K51),"")</x:f>
        <x:v>704.1659105211919</x:v>
      </x:c>
      <x:c r="E52" s="78" t="n">
        <x:f>IF($A52&lt;='Premissas'!$B$11,'Premissas'!$B$7,"")</x:f>
        <x:v>1000</x:v>
      </x:c>
      <x:c r="F52" s="78" t="n">
        <x:f>IF($A52&lt;='Premissas'!$B$11,D52*C52*'Premissas'!$B$9,"")</x:f>
        <x:v>620.0341599659735</x:v>
      </x:c>
      <x:c r="G52" s="78" t="n">
        <x:f>IF($A52&lt;='Premissas'!$B$11,D52*C52*'Premissas'!$B$14,"")</x:f>
        <x:v>0</x:v>
      </x:c>
      <x:c r="H52" s="78" t="n">
        <x:f>IF($A52&lt;='Premissas'!$B$11,MAX(F52-G52,0),"")</x:f>
        <x:v>620.0341599659735</x:v>
      </x:c>
      <x:c r="I52" s="78" t="n">
        <x:f>IF($A52&lt;='Premissas'!$B$11,IF('Premissas'!$B$12="Sim",H52,0),"")</x:f>
        <x:v>620.0341599659735</x:v>
      </x:c>
      <x:c r="J52" s="75" t="n">
        <x:f>IF($A52&lt;='Premissas'!$B$11,(E52+I52)/C52,"")</x:f>
        <x:v>14.718838450971512</x:v>
      </x:c>
      <x:c r="K52" s="75" t="n">
        <x:f>IF($A52&lt;='Premissas'!$B$11,D52+J52,"")</x:f>
        <x:v>718.8847489721634</x:v>
      </x:c>
      <x:c r="L52" s="78" t="n">
        <x:f>IF($A52&lt;='Premissas'!$B$11,K52*C52,"")</x:f>
        <x:v>79124.30415571266</x:v>
      </x:c>
      <x:c r="M52" s="78" t="n">
        <x:f>IF($A52&lt;='Premissas'!$B$11,IF($A52=1,'Premissas'!$B$6+E52,M51+E52),"")</x:f>
        <x:v>59000</x:v>
      </x:c>
      <x:c r="N52" s="78" t="n">
        <x:f>IF($A52&lt;='Premissas'!$B$11,IF($A52=1,H52,N51+H52),"")</x:f>
        <x:v>16121.847255610293</x:v>
      </x:c>
      <x:c r="O52" s="78" t="n">
        <x:f>IF($A52&lt;='Premissas'!$B$11,IF($A52=1,IF('Premissas'!$B$12="Sim",0,H52),O51+IF('Premissas'!$B$12="Sim",0,H52)),"")</x:f>
        <x:v>0</x:v>
      </x:c>
      <x:c r="P52" s="81" t="n">
        <x:f>IF($A52&lt;='Premissas'!$B$11,IF(M52=0,0,(L52+O52)/M52-1),"")</x:f>
        <x:v>0.34108990094428226</x:v>
      </x:c>
      <x:c r="Q52" s="84" t="str">
        <x:f>IF($A52&lt;='Premissas'!$B$11,"Ativo","Fora")</x:f>
        <x:v>Ativo</x:v>
      </x:c>
    </x:row>
    <x:row r="53">
      <x:c r="A53" s="66" t="n">
        <x:v>50</x:v>
      </x:c>
      <x:c r="B53" s="69" t="n">
        <x:f>IF($A53&lt;='Premissas'!$B$11,EDATE('Premissas'!$B$13,$A53-1),"")</x:f>
        <x:v>47757</x:v>
      </x:c>
      <x:c r="C53" s="72" t="n">
        <x:f>IF($A53&lt;='Premissas'!$B$11,'Premissas'!$B$8*(1+'Premissas'!$B$10)^($A53-1),"")</x:f>
        <x:v>110.28548439423642</x:v>
      </x:c>
      <x:c r="D53" s="75" t="n">
        <x:f>IF($A53&lt;='Premissas'!$B$11,IF($A53=1,'Premissas'!$B$6/'Premissas'!$B$8,K52),"")</x:f>
        <x:v>718.8847489721634</x:v>
      </x:c>
      <x:c r="E53" s="78" t="n">
        <x:f>IF($A53&lt;='Premissas'!$B$11,'Premissas'!$B$7,"")</x:f>
        <x:v>1000</x:v>
      </x:c>
      <x:c r="F53" s="78" t="n">
        <x:f>IF($A53&lt;='Premissas'!$B$11,D53*C53*'Premissas'!$B$9,"")</x:f>
        <x:v>634.2604221121927</x:v>
      </x:c>
      <x:c r="G53" s="78" t="n">
        <x:f>IF($A53&lt;='Premissas'!$B$11,D53*C53*'Premissas'!$B$14,"")</x:f>
        <x:v>0</x:v>
      </x:c>
      <x:c r="H53" s="78" t="n">
        <x:f>IF($A53&lt;='Premissas'!$B$11,MAX(F53-G53,0),"")</x:f>
        <x:v>634.2604221121927</x:v>
      </x:c>
      <x:c r="I53" s="78" t="n">
        <x:f>IF($A53&lt;='Premissas'!$B$11,IF('Premissas'!$B$12="Sim",H53,0),"")</x:f>
        <x:v>634.2604221121927</x:v>
      </x:c>
      <x:c r="J53" s="75" t="n">
        <x:f>IF($A53&lt;='Premissas'!$B$11,(E53+I53)/C53,"")</x:f>
        <x:v>14.818454405751336</x:v>
      </x:c>
      <x:c r="K53" s="75" t="n">
        <x:f>IF($A53&lt;='Premissas'!$B$11,D53+J53,"")</x:f>
        <x:v>733.7032033779147</x:v>
      </x:c>
      <x:c r="L53" s="78" t="n">
        <x:f>IF($A53&lt;='Premissas'!$B$11,K53*C53,"")</x:f>
        <x:v>80916.81318613629</x:v>
      </x:c>
      <x:c r="M53" s="78" t="n">
        <x:f>IF($A53&lt;='Premissas'!$B$11,IF($A53=1,'Premissas'!$B$6+E53,M52+E53),"")</x:f>
        <x:v>60000</x:v>
      </x:c>
      <x:c r="N53" s="78" t="n">
        <x:f>IF($A53&lt;='Premissas'!$B$11,IF($A53=1,H53,N52+H53),"")</x:f>
        <x:v>16756.107677722484</x:v>
      </x:c>
      <x:c r="O53" s="78" t="n">
        <x:f>IF($A53&lt;='Premissas'!$B$11,IF($A53=1,IF('Premissas'!$B$12="Sim",0,H53),O52+IF('Premissas'!$B$12="Sim",0,H53)),"")</x:f>
        <x:v>0</x:v>
      </x:c>
      <x:c r="P53" s="81" t="n">
        <x:f>IF($A53&lt;='Premissas'!$B$11,IF(M53=0,0,(L53+O53)/M53-1),"")</x:f>
        <x:v>0.3486135531022716</x:v>
      </x:c>
      <x:c r="Q53" s="84" t="str">
        <x:f>IF($A53&lt;='Premissas'!$B$11,"Ativo","Fora")</x:f>
        <x:v>Ativo</x:v>
      </x:c>
    </x:row>
    <x:row r="54">
      <x:c r="A54" s="66" t="n">
        <x:v>51</x:v>
      </x:c>
      <x:c r="B54" s="69" t="n">
        <x:f>IF($A54&lt;='Premissas'!$B$11,EDATE('Premissas'!$B$13,$A54-1),"")</x:f>
        <x:v>47788</x:v>
      </x:c>
      <x:c r="C54" s="72" t="n">
        <x:f>IF($A54&lt;='Premissas'!$B$11,'Premissas'!$B$8*(1+'Premissas'!$B$10)^($A54-1),"")</x:f>
        <x:v>110.50605536302488</x:v>
      </x:c>
      <x:c r="D54" s="75" t="n">
        <x:f>IF($A54&lt;='Premissas'!$B$11,IF($A54=1,'Premissas'!$B$6/'Premissas'!$B$8,K53),"")</x:f>
        <x:v>733.7032033779147</x:v>
      </x:c>
      <x:c r="E54" s="78" t="n">
        <x:f>IF($A54&lt;='Premissas'!$B$11,'Premissas'!$B$7,"")</x:f>
        <x:v>1000</x:v>
      </x:c>
      <x:c r="F54" s="78" t="n">
        <x:f>IF($A54&lt;='Premissas'!$B$11,D54*C54*'Premissas'!$B$9,"")</x:f>
        <x:v>648.6291745000684</x:v>
      </x:c>
      <x:c r="G54" s="78" t="n">
        <x:f>IF($A54&lt;='Premissas'!$B$11,D54*C54*'Premissas'!$B$14,"")</x:f>
        <x:v>0</x:v>
      </x:c>
      <x:c r="H54" s="78" t="n">
        <x:f>IF($A54&lt;='Premissas'!$B$11,MAX(F54-G54,0),"")</x:f>
        <x:v>648.6291745000684</x:v>
      </x:c>
      <x:c r="I54" s="78" t="n">
        <x:f>IF($A54&lt;='Premissas'!$B$11,IF('Premissas'!$B$12="Sim",H54,0),"")</x:f>
        <x:v>648.6291745000684</x:v>
      </x:c>
      <x:c r="J54" s="75" t="n">
        <x:f>IF($A54&lt;='Premissas'!$B$11,(E54+I54)/C54,"")</x:f>
        <x:v>14.918903485280833</x:v>
      </x:c>
      <x:c r="K54" s="75" t="n">
        <x:f>IF($A54&lt;='Premissas'!$B$11,D54+J54,"")</x:f>
        <x:v>748.6221068631955</x:v>
      </x:c>
      <x:c r="L54" s="78" t="n">
        <x:f>IF($A54&lt;='Premissas'!$B$11,K54*C54,"")</x:f>
        <x:v>82727.27598700862</x:v>
      </x:c>
      <x:c r="M54" s="78" t="n">
        <x:f>IF($A54&lt;='Premissas'!$B$11,IF($A54=1,'Premissas'!$B$6+E54,M53+E54),"")</x:f>
        <x:v>61000</x:v>
      </x:c>
      <x:c r="N54" s="78" t="n">
        <x:f>IF($A54&lt;='Premissas'!$B$11,IF($A54=1,H54,N53+H54),"")</x:f>
        <x:v>17404.73685222255</x:v>
      </x:c>
      <x:c r="O54" s="78" t="n">
        <x:f>IF($A54&lt;='Premissas'!$B$11,IF($A54=1,IF('Premissas'!$B$12="Sim",0,H54),O53+IF('Premissas'!$B$12="Sim",0,H54)),"")</x:f>
        <x:v>0</x:v>
      </x:c>
      <x:c r="P54" s="81" t="n">
        <x:f>IF($A54&lt;='Premissas'!$B$11,IF(M54=0,0,(L54+O54)/M54-1),"")</x:f>
        <x:v>0.3561848522460429</x:v>
      </x:c>
      <x:c r="Q54" s="84" t="str">
        <x:f>IF($A54&lt;='Premissas'!$B$11,"Ativo","Fora")</x:f>
        <x:v>Ativo</x:v>
      </x:c>
    </x:row>
    <x:row r="55">
      <x:c r="A55" s="66" t="n">
        <x:v>52</x:v>
      </x:c>
      <x:c r="B55" s="69" t="n">
        <x:f>IF($A55&lt;='Premissas'!$B$11,EDATE('Premissas'!$B$13,$A55-1),"")</x:f>
        <x:v>47818</x:v>
      </x:c>
      <x:c r="C55" s="72" t="n">
        <x:f>IF($A55&lt;='Premissas'!$B$11,'Premissas'!$B$8*(1+'Premissas'!$B$10)^($A55-1),"")</x:f>
        <x:v>110.72706747375094</x:v>
      </x:c>
      <x:c r="D55" s="75" t="n">
        <x:f>IF($A55&lt;='Premissas'!$B$11,IF($A55=1,'Premissas'!$B$6/'Premissas'!$B$8,K54),"")</x:f>
        <x:v>748.6221068631955</x:v>
      </x:c>
      <x:c r="E55" s="78" t="n">
        <x:f>IF($A55&lt;='Premissas'!$B$11,'Premissas'!$B$7,"")</x:f>
        <x:v>1000</x:v>
      </x:c>
      <x:c r="F55" s="78" t="n">
        <x:f>IF($A55&lt;='Premissas'!$B$11,D55*C55*'Premissas'!$B$9,"")</x:f>
        <x:v>663.1418443118611</x:v>
      </x:c>
      <x:c r="G55" s="78" t="n">
        <x:f>IF($A55&lt;='Premissas'!$B$11,D55*C55*'Premissas'!$B$14,"")</x:f>
        <x:v>0</x:v>
      </x:c>
      <x:c r="H55" s="78" t="n">
        <x:f>IF($A55&lt;='Premissas'!$B$11,MAX(F55-G55,0),"")</x:f>
        <x:v>663.1418443118611</x:v>
      </x:c>
      <x:c r="I55" s="78" t="n">
        <x:f>IF($A55&lt;='Premissas'!$B$11,IF('Premissas'!$B$12="Sim",H55,0),"")</x:f>
        <x:v>663.1418443118611</x:v>
      </x:c>
      <x:c r="J55" s="75" t="n">
        <x:f>IF($A55&lt;='Premissas'!$B$11,(E55+I55)/C55,"")</x:f>
        <x:v>15.02019228230827</x:v>
      </x:c>
      <x:c r="K55" s="75" t="n">
        <x:f>IF($A55&lt;='Premissas'!$B$11,D55+J55,"")</x:f>
        <x:v>763.6422991455038</x:v>
      </x:c>
      <x:c r="L55" s="78" t="n">
        <x:f>IF($A55&lt;='Premissas'!$B$11,K55*C55,"")</x:f>
        <x:v>84555.8723832945</x:v>
      </x:c>
      <x:c r="M55" s="78" t="n">
        <x:f>IF($A55&lt;='Premissas'!$B$11,IF($A55=1,'Premissas'!$B$6+E55,M54+E55),"")</x:f>
        <x:v>62000</x:v>
      </x:c>
      <x:c r="N55" s="78" t="n">
        <x:f>IF($A55&lt;='Premissas'!$B$11,IF($A55=1,H55,N54+H55),"")</x:f>
        <x:v>18067.87869653441</x:v>
      </x:c>
      <x:c r="O55" s="78" t="n">
        <x:f>IF($A55&lt;='Premissas'!$B$11,IF($A55=1,IF('Premissas'!$B$12="Sim",0,H55),O54+IF('Premissas'!$B$12="Sim",0,H55)),"")</x:f>
        <x:v>0</x:v>
      </x:c>
      <x:c r="P55" s="81" t="n">
        <x:f>IF($A55&lt;='Premissas'!$B$11,IF(M55=0,0,(L55+O55)/M55-1),"")</x:f>
        <x:v>0.3638043932789434</x:v>
      </x:c>
      <x:c r="Q55" s="84" t="str">
        <x:f>IF($A55&lt;='Premissas'!$B$11,"Ativo","Fora")</x:f>
        <x:v>Ativo</x:v>
      </x:c>
    </x:row>
    <x:row r="56">
      <x:c r="A56" s="66" t="n">
        <x:v>53</x:v>
      </x:c>
      <x:c r="B56" s="69" t="n">
        <x:f>IF($A56&lt;='Premissas'!$B$11,EDATE('Premissas'!$B$13,$A56-1),"")</x:f>
        <x:v>47849</x:v>
      </x:c>
      <x:c r="C56" s="72" t="n">
        <x:f>IF($A56&lt;='Premissas'!$B$11,'Premissas'!$B$8*(1+'Premissas'!$B$10)^($A56-1),"")</x:f>
        <x:v>110.94852160869844</x:v>
      </x:c>
      <x:c r="D56" s="75" t="n">
        <x:f>IF($A56&lt;='Premissas'!$B$11,IF($A56=1,'Premissas'!$B$6/'Premissas'!$B$8,K55),"")</x:f>
        <x:v>763.6422991455038</x:v>
      </x:c>
      <x:c r="E56" s="78" t="n">
        <x:f>IF($A56&lt;='Premissas'!$B$11,'Premissas'!$B$7,"")</x:f>
        <x:v>1000</x:v>
      </x:c>
      <x:c r="F56" s="78" t="n">
        <x:f>IF($A56&lt;='Premissas'!$B$11,D56*C56*'Premissas'!$B$9,"")</x:f>
        <x:v>677.7998730244886</x:v>
      </x:c>
      <x:c r="G56" s="78" t="n">
        <x:f>IF($A56&lt;='Premissas'!$B$11,D56*C56*'Premissas'!$B$14,"")</x:f>
        <x:v>0</x:v>
      </x:c>
      <x:c r="H56" s="78" t="n">
        <x:f>IF($A56&lt;='Premissas'!$B$11,MAX(F56-G56,0),"")</x:f>
        <x:v>677.7998730244886</x:v>
      </x:c>
      <x:c r="I56" s="78" t="n">
        <x:f>IF($A56&lt;='Premissas'!$B$11,IF('Premissas'!$B$12="Sim",H56,0),"")</x:f>
        <x:v>677.7998730244886</x:v>
      </x:c>
      <x:c r="J56" s="75" t="n">
        <x:f>IF($A56&lt;='Premissas'!$B$11,(E56+I56)/C56,"")</x:f>
        <x:v>15.122327442468128</x:v>
      </x:c>
      <x:c r="K56" s="75" t="n">
        <x:f>IF($A56&lt;='Premissas'!$B$11,D56+J56,"")</x:f>
        <x:v>778.7646265879719</x:v>
      </x:c>
      <x:c r="L56" s="78" t="n">
        <x:f>IF($A56&lt;='Premissas'!$B$11,K56*C56,"")</x:f>
        <x:v>86402.78400108557</x:v>
      </x:c>
      <x:c r="M56" s="78" t="n">
        <x:f>IF($A56&lt;='Premissas'!$B$11,IF($A56=1,'Premissas'!$B$6+E56,M55+E56),"")</x:f>
        <x:v>63000</x:v>
      </x:c>
      <x:c r="N56" s="78" t="n">
        <x:f>IF($A56&lt;='Premissas'!$B$11,IF($A56=1,H56,N55+H56),"")</x:f>
        <x:v>18745.6785695589</x:v>
      </x:c>
      <x:c r="O56" s="78" t="n">
        <x:f>IF($A56&lt;='Premissas'!$B$11,IF($A56=1,IF('Premissas'!$B$12="Sim",0,H56),O55+IF('Premissas'!$B$12="Sim",0,H56)),"")</x:f>
        <x:v>0</x:v>
      </x:c>
      <x:c r="P56" s="81" t="n">
        <x:f>IF($A56&lt;='Premissas'!$B$11,IF(M56=0,0,(L56+O56)/M56-1),"")</x:f>
        <x:v>0.3714727619219933</x:v>
      </x:c>
      <x:c r="Q56" s="84" t="str">
        <x:f>IF($A56&lt;='Premissas'!$B$11,"Ativo","Fora")</x:f>
        <x:v>Ativo</x:v>
      </x:c>
    </x:row>
    <x:row r="57">
      <x:c r="A57" s="66" t="n">
        <x:v>54</x:v>
      </x:c>
      <x:c r="B57" s="69" t="n">
        <x:f>IF($A57&lt;='Premissas'!$B$11,EDATE('Premissas'!$B$13,$A57-1),"")</x:f>
        <x:v>47880</x:v>
      </x:c>
      <x:c r="C57" s="72" t="n">
        <x:f>IF($A57&lt;='Premissas'!$B$11,'Premissas'!$B$8*(1+'Premissas'!$B$10)^($A57-1),"")</x:f>
        <x:v>111.17041865191584</x:v>
      </x:c>
      <x:c r="D57" s="75" t="n">
        <x:f>IF($A57&lt;='Premissas'!$B$11,IF($A57=1,'Premissas'!$B$6/'Premissas'!$B$8,K56),"")</x:f>
        <x:v>778.7646265879719</x:v>
      </x:c>
      <x:c r="E57" s="78" t="n">
        <x:f>IF($A57&lt;='Premissas'!$B$11,'Premissas'!$B$7,"")</x:f>
        <x:v>1000</x:v>
      </x:c>
      <x:c r="F57" s="78" t="n">
        <x:f>IF($A57&lt;='Premissas'!$B$11,D57*C57*'Premissas'!$B$9,"")</x:f>
        <x:v>692.6047165527019</x:v>
      </x:c>
      <x:c r="G57" s="78" t="n">
        <x:f>IF($A57&lt;='Premissas'!$B$11,D57*C57*'Premissas'!$B$14,"")</x:f>
        <x:v>0</x:v>
      </x:c>
      <x:c r="H57" s="78" t="n">
        <x:f>IF($A57&lt;='Premissas'!$B$11,MAX(F57-G57,0),"")</x:f>
        <x:v>692.6047165527019</x:v>
      </x:c>
      <x:c r="I57" s="78" t="n">
        <x:f>IF($A57&lt;='Premissas'!$B$11,IF('Premissas'!$B$12="Sim",H57,0),"")</x:f>
        <x:v>692.6047165527019</x:v>
      </x:c>
      <x:c r="J57" s="75" t="n">
        <x:f>IF($A57&lt;='Premissas'!$B$11,(E57+I57)/C57,"")</x:f>
        <x:v>15.225315664703874</x:v>
      </x:c>
      <x:c r="K57" s="75" t="n">
        <x:f>IF($A57&lt;='Premissas'!$B$11,D57+J57,"")</x:f>
        <x:v>793.9899422526757</x:v>
      </x:c>
      <x:c r="L57" s="78" t="n">
        <x:f>IF($A57&lt;='Premissas'!$B$11,K57*C57,"")</x:f>
        <x:v>88268.19428564045</x:v>
      </x:c>
      <x:c r="M57" s="78" t="n">
        <x:f>IF($A57&lt;='Premissas'!$B$11,IF($A57=1,'Premissas'!$B$6+E57,M56+E57),"")</x:f>
        <x:v>64000</x:v>
      </x:c>
      <x:c r="N57" s="78" t="n">
        <x:f>IF($A57&lt;='Premissas'!$B$11,IF($A57=1,H57,N56+H57),"")</x:f>
        <x:v>19438.2832861116</x:v>
      </x:c>
      <x:c r="O57" s="78" t="n">
        <x:f>IF($A57&lt;='Premissas'!$B$11,IF($A57=1,IF('Premissas'!$B$12="Sim",0,H57),O56+IF('Premissas'!$B$12="Sim",0,H57)),"")</x:f>
        <x:v>0</x:v>
      </x:c>
      <x:c r="P57" s="81" t="n">
        <x:f>IF($A57&lt;='Premissas'!$B$11,IF(M57=0,0,(L57+O57)/M57-1),"")</x:f>
        <x:v>0.379190535713132</x:v>
      </x:c>
      <x:c r="Q57" s="84" t="str">
        <x:f>IF($A57&lt;='Premissas'!$B$11,"Ativo","Fora")</x:f>
        <x:v>Ativo</x:v>
      </x:c>
    </x:row>
    <x:row r="58">
      <x:c r="A58" s="66" t="n">
        <x:v>55</x:v>
      </x:c>
      <x:c r="B58" s="69" t="n">
        <x:f>IF($A58&lt;='Premissas'!$B$11,EDATE('Premissas'!$B$13,$A58-1),"")</x:f>
        <x:v>47908</x:v>
      </x:c>
      <x:c r="C58" s="72" t="n">
        <x:f>IF($A58&lt;='Premissas'!$B$11,'Premissas'!$B$8*(1+'Premissas'!$B$10)^($A58-1),"")</x:f>
        <x:v>111.39275948921967</x:v>
      </x:c>
      <x:c r="D58" s="75" t="n">
        <x:f>IF($A58&lt;='Premissas'!$B$11,IF($A58=1,'Premissas'!$B$6/'Premissas'!$B$8,K57),"")</x:f>
        <x:v>793.9899422526757</x:v>
      </x:c>
      <x:c r="E58" s="78" t="n">
        <x:f>IF($A58&lt;='Premissas'!$B$11,'Premissas'!$B$7,"")</x:f>
        <x:v>1000</x:v>
      </x:c>
      <x:c r="F58" s="78" t="n">
        <x:f>IF($A58&lt;='Premissas'!$B$11,D58*C58*'Premissas'!$B$9,"")</x:f>
        <x:v>707.5578453936938</x:v>
      </x:c>
      <x:c r="G58" s="78" t="n">
        <x:f>IF($A58&lt;='Premissas'!$B$11,D58*C58*'Premissas'!$B$14,"")</x:f>
        <x:v>0</x:v>
      </x:c>
      <x:c r="H58" s="78" t="n">
        <x:f>IF($A58&lt;='Premissas'!$B$11,MAX(F58-G58,0),"")</x:f>
        <x:v>707.5578453936938</x:v>
      </x:c>
      <x:c r="I58" s="78" t="n">
        <x:f>IF($A58&lt;='Premissas'!$B$11,IF('Premissas'!$B$12="Sim",H58,0),"")</x:f>
        <x:v>707.5578453936938</x:v>
      </x:c>
      <x:c r="J58" s="75" t="n">
        <x:f>IF($A58&lt;='Premissas'!$B$11,(E58+I58)/C58,"")</x:f>
        <x:v>15.329163701694158</x:v>
      </x:c>
      <x:c r="K58" s="75" t="n">
        <x:f>IF($A58&lt;='Premissas'!$B$11,D58+J58,"")</x:f>
        <x:v>809.3191059543699</x:v>
      </x:c>
      <x:c r="L58" s="78" t="n">
        <x:f>IF($A58&lt;='Premissas'!$B$11,K58*C58,"")</x:f>
        <x:v>90152.28851960541</x:v>
      </x:c>
      <x:c r="M58" s="78" t="n">
        <x:f>IF($A58&lt;='Premissas'!$B$11,IF($A58=1,'Premissas'!$B$6+E58,M57+E58),"")</x:f>
        <x:v>65000</x:v>
      </x:c>
      <x:c r="N58" s="78" t="n">
        <x:f>IF($A58&lt;='Premissas'!$B$11,IF($A58=1,H58,N57+H58),"")</x:f>
        <x:v>20145.841131505294</x:v>
      </x:c>
      <x:c r="O58" s="78" t="n">
        <x:f>IF($A58&lt;='Premissas'!$B$11,IF($A58=1,IF('Premissas'!$B$12="Sim",0,H58),O57+IF('Premissas'!$B$12="Sim",0,H58)),"")</x:f>
        <x:v>0</x:v>
      </x:c>
      <x:c r="P58" s="81" t="n">
        <x:f>IF($A58&lt;='Premissas'!$B$11,IF(M58=0,0,(L58+O58)/M58-1),"")</x:f>
        <x:v>0.38695828491700635</x:v>
      </x:c>
      <x:c r="Q58" s="84" t="str">
        <x:f>IF($A58&lt;='Premissas'!$B$11,"Ativo","Fora")</x:f>
        <x:v>Ativo</x:v>
      </x:c>
    </x:row>
    <x:row r="59">
      <x:c r="A59" s="66" t="n">
        <x:v>56</x:v>
      </x:c>
      <x:c r="B59" s="69" t="n">
        <x:f>IF($A59&lt;='Premissas'!$B$11,EDATE('Premissas'!$B$13,$A59-1),"")</x:f>
        <x:v>47939</x:v>
      </x:c>
      <x:c r="C59" s="72" t="n">
        <x:f>IF($A59&lt;='Premissas'!$B$11,'Premissas'!$B$8*(1+'Premissas'!$B$10)^($A59-1),"")</x:f>
        <x:v>111.6155450081981</x:v>
      </x:c>
      <x:c r="D59" s="75" t="n">
        <x:f>IF($A59&lt;='Premissas'!$B$11,IF($A59=1,'Premissas'!$B$6/'Premissas'!$B$8,K58),"")</x:f>
        <x:v>809.3191059543699</x:v>
      </x:c>
      <x:c r="E59" s="78" t="n">
        <x:f>IF($A59&lt;='Premissas'!$B$11,'Premissas'!$B$7,"")</x:f>
        <x:v>1000</x:v>
      </x:c>
      <x:c r="F59" s="78" t="n">
        <x:f>IF($A59&lt;='Premissas'!$B$11,D59*C59*'Premissas'!$B$9,"")</x:f>
        <x:v>722.6607447731569</x:v>
      </x:c>
      <x:c r="G59" s="78" t="n">
        <x:f>IF($A59&lt;='Premissas'!$B$11,D59*C59*'Premissas'!$B$14,"")</x:f>
        <x:v>0</x:v>
      </x:c>
      <x:c r="H59" s="78" t="n">
        <x:f>IF($A59&lt;='Premissas'!$B$11,MAX(F59-G59,0),"")</x:f>
        <x:v>722.6607447731569</x:v>
      </x:c>
      <x:c r="I59" s="78" t="n">
        <x:f>IF($A59&lt;='Premissas'!$B$11,IF('Premissas'!$B$12="Sim",H59,0),"")</x:f>
        <x:v>722.6607447731569</x:v>
      </x:c>
      <x:c r="J59" s="75" t="n">
        <x:f>IF($A59&lt;='Premissas'!$B$11,(E59+I59)/C59,"")</x:f>
        <x:v>15.433878360282419</x:v>
      </x:c>
      <x:c r="K59" s="75" t="n">
        <x:f>IF($A59&lt;='Premissas'!$B$11,D59+J59,"")</x:f>
        <x:v>824.7529843146523</x:v>
      </x:c>
      <x:c r="L59" s="78" t="n">
        <x:f>IF($A59&lt;='Premissas'!$B$11,K59*C59,"")</x:f>
        <x:v>92055.25384141777</x:v>
      </x:c>
      <x:c r="M59" s="78" t="n">
        <x:f>IF($A59&lt;='Premissas'!$B$11,IF($A59=1,'Premissas'!$B$6+E59,M58+E59),"")</x:f>
        <x:v>66000</x:v>
      </x:c>
      <x:c r="N59" s="78" t="n">
        <x:f>IF($A59&lt;='Premissas'!$B$11,IF($A59=1,H59,N58+H59),"")</x:f>
        <x:v>20868.501876278453</x:v>
      </x:c>
      <x:c r="O59" s="78" t="n">
        <x:f>IF($A59&lt;='Premissas'!$B$11,IF($A59=1,IF('Premissas'!$B$12="Sim",0,H59),O58+IF('Premissas'!$B$12="Sim",0,H59)),"")</x:f>
        <x:v>0</x:v>
      </x:c>
      <x:c r="P59" s="81" t="n">
        <x:f>IF($A59&lt;='Premissas'!$B$11,IF(M59=0,0,(L59+O59)/M59-1),"")</x:f>
        <x:v>0.39477657335481475</x:v>
      </x:c>
      <x:c r="Q59" s="84" t="str">
        <x:f>IF($A59&lt;='Premissas'!$B$11,"Ativo","Fora")</x:f>
        <x:v>Ativo</x:v>
      </x:c>
    </x:row>
    <x:row r="60">
      <x:c r="A60" s="66" t="n">
        <x:v>57</x:v>
      </x:c>
      <x:c r="B60" s="69" t="n">
        <x:f>IF($A60&lt;='Premissas'!$B$11,EDATE('Premissas'!$B$13,$A60-1),"")</x:f>
        <x:v>47969</x:v>
      </x:c>
      <x:c r="C60" s="72" t="n">
        <x:f>IF($A60&lt;='Premissas'!$B$11,'Premissas'!$B$8*(1+'Premissas'!$B$10)^($A60-1),"")</x:f>
        <x:v>111.83877609821451</x:v>
      </x:c>
      <x:c r="D60" s="75" t="n">
        <x:f>IF($A60&lt;='Premissas'!$B$11,IF($A60=1,'Premissas'!$B$6/'Premissas'!$B$8,K59),"")</x:f>
        <x:v>824.7529843146523</x:v>
      </x:c>
      <x:c r="E60" s="78" t="n">
        <x:f>IF($A60&lt;='Premissas'!$B$11,'Premissas'!$B$7,"")</x:f>
        <x:v>1000</x:v>
      </x:c>
      <x:c r="F60" s="78" t="n">
        <x:f>IF($A60&lt;='Premissas'!$B$11,D60*C60*'Premissas'!$B$9,"")</x:f>
        <x:v>737.914914792805</x:v>
      </x:c>
      <x:c r="G60" s="78" t="n">
        <x:f>IF($A60&lt;='Premissas'!$B$11,D60*C60*'Premissas'!$B$14,"")</x:f>
        <x:v>0</x:v>
      </x:c>
      <x:c r="H60" s="78" t="n">
        <x:f>IF($A60&lt;='Premissas'!$B$11,MAX(F60-G60,0),"")</x:f>
        <x:v>737.914914792805</x:v>
      </x:c>
      <x:c r="I60" s="78" t="n">
        <x:f>IF($A60&lt;='Premissas'!$B$11,IF('Premissas'!$B$12="Sim",H60,0),"")</x:f>
        <x:v>737.914914792805</x:v>
      </x:c>
      <x:c r="J60" s="75" t="n">
        <x:f>IF($A60&lt;='Premissas'!$B$11,(E60+I60)/C60,"")</x:f>
        <x:v>15.539466501909892</x:v>
      </x:c>
      <x:c r="K60" s="75" t="n">
        <x:f>IF($A60&lt;='Premissas'!$B$11,D60+J60,"")</x:f>
        <x:v>840.2924508165622</x:v>
      </x:c>
      <x:c r="L60" s="78" t="n">
        <x:f>IF($A60&lt;='Premissas'!$B$11,K60*C60,"")</x:f>
        <x:v>93977.27926389343</x:v>
      </x:c>
      <x:c r="M60" s="78" t="n">
        <x:f>IF($A60&lt;='Premissas'!$B$11,IF($A60=1,'Premissas'!$B$6+E60,M59+E60),"")</x:f>
        <x:v>67000</x:v>
      </x:c>
      <x:c r="N60" s="78" t="n">
        <x:f>IF($A60&lt;='Premissas'!$B$11,IF($A60=1,H60,N59+H60),"")</x:f>
        <x:v>21606.416791071257</x:v>
      </x:c>
      <x:c r="O60" s="78" t="n">
        <x:f>IF($A60&lt;='Premissas'!$B$11,IF($A60=1,IF('Premissas'!$B$12="Sim",0,H60),O59+IF('Premissas'!$B$12="Sim",0,H60)),"")</x:f>
        <x:v>0</x:v>
      </x:c>
      <x:c r="P60" s="81" t="n">
        <x:f>IF($A60&lt;='Premissas'!$B$11,IF(M60=0,0,(L60+O60)/M60-1),"")</x:f>
        <x:v>0.4026459591625886</x:v>
      </x:c>
      <x:c r="Q60" s="84" t="str">
        <x:f>IF($A60&lt;='Premissas'!$B$11,"Ativo","Fora")</x:f>
        <x:v>Ativo</x:v>
      </x:c>
    </x:row>
    <x:row r="61">
      <x:c r="A61" s="66" t="n">
        <x:v>58</x:v>
      </x:c>
      <x:c r="B61" s="69" t="n">
        <x:f>IF($A61&lt;='Premissas'!$B$11,EDATE('Premissas'!$B$13,$A61-1),"")</x:f>
        <x:v>48000</x:v>
      </x:c>
      <x:c r="C61" s="72" t="n">
        <x:f>IF($A61&lt;='Premissas'!$B$11,'Premissas'!$B$8*(1+'Premissas'!$B$10)^($A61-1),"")</x:f>
        <x:v>112.06245365041092</x:v>
      </x:c>
      <x:c r="D61" s="75" t="n">
        <x:f>IF($A61&lt;='Premissas'!$B$11,IF($A61=1,'Premissas'!$B$6/'Premissas'!$B$8,K60),"")</x:f>
        <x:v>840.2924508165622</x:v>
      </x:c>
      <x:c r="E61" s="78" t="n">
        <x:f>IF($A61&lt;='Premissas'!$B$11,'Premissas'!$B$7,"")</x:f>
        <x:v>1000</x:v>
      </x:c>
      <x:c r="F61" s="78" t="n">
        <x:f>IF($A61&lt;='Premissas'!$B$11,D61*C61*'Premissas'!$B$9,"")</x:f>
        <x:v>753.3218705793696</x:v>
      </x:c>
      <x:c r="G61" s="78" t="n">
        <x:f>IF($A61&lt;='Premissas'!$B$11,D61*C61*'Premissas'!$B$14,"")</x:f>
        <x:v>0</x:v>
      </x:c>
      <x:c r="H61" s="78" t="n">
        <x:f>IF($A61&lt;='Premissas'!$B$11,MAX(F61-G61,0),"")</x:f>
        <x:v>753.3218705793696</x:v>
      </x:c>
      <x:c r="I61" s="78" t="n">
        <x:f>IF($A61&lt;='Premissas'!$B$11,IF('Premissas'!$B$12="Sim",H61,0),"")</x:f>
        <x:v>753.3218705793696</x:v>
      </x:c>
      <x:c r="J61" s="75" t="n">
        <x:f>IF($A61&lt;='Premissas'!$B$11,(E61+I61)/C61,"")</x:f>
        <x:v>15.645935043052134</x:v>
      </x:c>
      <x:c r="K61" s="75" t="n">
        <x:f>IF($A61&lt;='Premissas'!$B$11,D61+J61,"")</x:f>
        <x:v>855.9383858596143</x:v>
      </x:c>
      <x:c r="L61" s="78" t="n">
        <x:f>IF($A61&lt;='Premissas'!$B$11,K61*C61,"")</x:f>
        <x:v>95918.55569300056</x:v>
      </x:c>
      <x:c r="M61" s="78" t="n">
        <x:f>IF($A61&lt;='Premissas'!$B$11,IF($A61=1,'Premissas'!$B$6+E61,M60+E61),"")</x:f>
        <x:v>68000</x:v>
      </x:c>
      <x:c r="N61" s="78" t="n">
        <x:f>IF($A61&lt;='Premissas'!$B$11,IF($A61=1,H61,N60+H61),"")</x:f>
        <x:v>22359.738661650626</x:v>
      </x:c>
      <x:c r="O61" s="78" t="n">
        <x:f>IF($A61&lt;='Premissas'!$B$11,IF($A61=1,IF('Premissas'!$B$12="Sim",0,H61),O60+IF('Premissas'!$B$12="Sim",0,H61)),"")</x:f>
        <x:v>0</x:v>
      </x:c>
      <x:c r="P61" s="81" t="n">
        <x:f>IF($A61&lt;='Premissas'!$B$11,IF(M61=0,0,(L61+O61)/M61-1),"")</x:f>
        <x:v>0.4105669954853022</x:v>
      </x:c>
      <x:c r="Q61" s="84" t="str">
        <x:f>IF($A61&lt;='Premissas'!$B$11,"Ativo","Fora")</x:f>
        <x:v>Ativo</x:v>
      </x:c>
    </x:row>
    <x:row r="62">
      <x:c r="A62" s="66" t="n">
        <x:v>59</x:v>
      </x:c>
      <x:c r="B62" s="69" t="n">
        <x:f>IF($A62&lt;='Premissas'!$B$11,EDATE('Premissas'!$B$13,$A62-1),"")</x:f>
        <x:v>48030</x:v>
      </x:c>
      <x:c r="C62" s="72" t="n">
        <x:f>IF($A62&lt;='Premissas'!$B$11,'Premissas'!$B$8*(1+'Premissas'!$B$10)^($A62-1),"")</x:f>
        <x:v>112.28657855771176</x:v>
      </x:c>
      <x:c r="D62" s="75" t="n">
        <x:f>IF($A62&lt;='Premissas'!$B$11,IF($A62=1,'Premissas'!$B$6/'Premissas'!$B$8,K61),"")</x:f>
        <x:v>855.9383858596143</x:v>
      </x:c>
      <x:c r="E62" s="78" t="n">
        <x:f>IF($A62&lt;='Premissas'!$B$11,'Premissas'!$B$7,"")</x:f>
        <x:v>1000</x:v>
      </x:c>
      <x:c r="F62" s="78" t="n">
        <x:f>IF($A62&lt;='Premissas'!$B$11,D62*C62*'Premissas'!$B$9,"")</x:f>
        <x:v>768.8831424350927</x:v>
      </x:c>
      <x:c r="G62" s="78" t="n">
        <x:f>IF($A62&lt;='Premissas'!$B$11,D62*C62*'Premissas'!$B$14,"")</x:f>
        <x:v>0</x:v>
      </x:c>
      <x:c r="H62" s="78" t="n">
        <x:f>IF($A62&lt;='Premissas'!$B$11,MAX(F62-G62,0),"")</x:f>
        <x:v>768.8831424350927</x:v>
      </x:c>
      <x:c r="I62" s="78" t="n">
        <x:f>IF($A62&lt;='Premissas'!$B$11,IF('Premissas'!$B$12="Sim",H62,0),"")</x:f>
        <x:v>768.8831424350927</x:v>
      </x:c>
      <x:c r="J62" s="75" t="n">
        <x:f>IF($A62&lt;='Premissas'!$B$11,(E62+I62)/C62,"")</x:f>
        <x:v>15.753290955658985</x:v>
      </x:c>
      <x:c r="K62" s="75" t="n">
        <x:f>IF($A62&lt;='Premissas'!$B$11,D62+J62,"")</x:f>
        <x:v>871.6916768152732</x:v>
      </x:c>
      <x:c r="L62" s="78" t="n">
        <x:f>IF($A62&lt;='Premissas'!$B$11,K62*C62,"")</x:f>
        <x:v>97879.27594682167</x:v>
      </x:c>
      <x:c r="M62" s="78" t="n">
        <x:f>IF($A62&lt;='Premissas'!$B$11,IF($A62=1,'Premissas'!$B$6+E62,M61+E62),"")</x:f>
        <x:v>69000</x:v>
      </x:c>
      <x:c r="N62" s="78" t="n">
        <x:f>IF($A62&lt;='Premissas'!$B$11,IF($A62=1,H62,N61+H62),"")</x:f>
        <x:v>23128.62180408572</x:v>
      </x:c>
      <x:c r="O62" s="78" t="n">
        <x:f>IF($A62&lt;='Premissas'!$B$11,IF($A62=1,IF('Premissas'!$B$12="Sim",0,H62),O61+IF('Premissas'!$B$12="Sim",0,H62)),"")</x:f>
        <x:v>0</x:v>
      </x:c>
      <x:c r="P62" s="81" t="n">
        <x:f>IF($A62&lt;='Premissas'!$B$11,IF(M62=0,0,(L62+O62)/M62-1),"")</x:f>
        <x:v>0.4185402311133575</x:v>
      </x:c>
      <x:c r="Q62" s="84" t="str">
        <x:f>IF($A62&lt;='Premissas'!$B$11,"Ativo","Fora")</x:f>
        <x:v>Ativo</x:v>
      </x:c>
    </x:row>
    <x:row r="63">
      <x:c r="A63" s="66" t="n">
        <x:v>60</x:v>
      </x:c>
      <x:c r="B63" s="69" t="n">
        <x:f>IF($A63&lt;='Premissas'!$B$11,EDATE('Premissas'!$B$13,$A63-1),"")</x:f>
        <x:v>48061</x:v>
      </x:c>
      <x:c r="C63" s="72" t="n">
        <x:f>IF($A63&lt;='Premissas'!$B$11,'Premissas'!$B$8*(1+'Premissas'!$B$10)^($A63-1),"")</x:f>
        <x:v>112.51115171482718</x:v>
      </x:c>
      <x:c r="D63" s="75" t="n">
        <x:f>IF($A63&lt;='Premissas'!$B$11,IF($A63=1,'Premissas'!$B$6/'Premissas'!$B$8,K62),"")</x:f>
        <x:v>871.6916768152732</x:v>
      </x:c>
      <x:c r="E63" s="78" t="n">
        <x:f>IF($A63&lt;='Premissas'!$B$11,'Premissas'!$B$7,"")</x:f>
        <x:v>1000</x:v>
      </x:c>
      <x:c r="F63" s="78" t="n">
        <x:f>IF($A63&lt;='Premissas'!$B$11,D63*C63*'Premissas'!$B$9,"")</x:f>
        <x:v>784.6002759897225</x:v>
      </x:c>
      <x:c r="G63" s="78" t="n">
        <x:f>IF($A63&lt;='Premissas'!$B$11,D63*C63*'Premissas'!$B$14,"")</x:f>
        <x:v>0</x:v>
      </x:c>
      <x:c r="H63" s="78" t="n">
        <x:f>IF($A63&lt;='Premissas'!$B$11,MAX(F63-G63,0),"")</x:f>
        <x:v>784.6002759897225</x:v>
      </x:c>
      <x:c r="I63" s="78" t="n">
        <x:f>IF($A63&lt;='Premissas'!$B$11,IF('Premissas'!$B$12="Sim",H63,0),"")</x:f>
        <x:v>784.6002759897225</x:v>
      </x:c>
      <x:c r="J63" s="75" t="n">
        <x:f>IF($A63&lt;='Premissas'!$B$11,(E63+I63)/C63,"")</x:f>
        <x:v>15.861541267598103</x:v>
      </x:c>
      <x:c r="K63" s="75" t="n">
        <x:f>IF($A63&lt;='Premissas'!$B$11,D63+J63,"")</x:f>
        <x:v>887.5532180828714</x:v>
      </x:c>
      <x:c r="L63" s="78" t="n">
        <x:f>IF($A63&lt;='Premissas'!$B$11,K63*C63,"")</x:f>
        <x:v>99859.63477470503</x:v>
      </x:c>
      <x:c r="M63" s="78" t="n">
        <x:f>IF($A63&lt;='Premissas'!$B$11,IF($A63=1,'Premissas'!$B$6+E63,M62+E63),"")</x:f>
        <x:v>70000</x:v>
      </x:c>
      <x:c r="N63" s="78" t="n">
        <x:f>IF($A63&lt;='Premissas'!$B$11,IF($A63=1,H63,N62+H63),"")</x:f>
        <x:v>23913.222080075444</x:v>
      </x:c>
      <x:c r="O63" s="78" t="n">
        <x:f>IF($A63&lt;='Premissas'!$B$11,IF($A63=1,IF('Premissas'!$B$12="Sim",0,H63),O62+IF('Premissas'!$B$12="Sim",0,H63)),"")</x:f>
        <x:v>0</x:v>
      </x:c>
      <x:c r="P63" s="81" t="n">
        <x:f>IF($A63&lt;='Premissas'!$B$11,IF(M63=0,0,(L63+O63)/M63-1),"")</x:f>
        <x:v>0.4265662110672148</x:v>
      </x:c>
      <x:c r="Q63" s="84" t="str">
        <x:f>IF($A63&lt;='Premissas'!$B$11,"Ativo","Fora")</x:f>
        <x:v>Ativo</x:v>
      </x:c>
    </x:row>
    <x:row r="64">
      <x:c r="A64" s="66" t="n">
        <x:v>61</x:v>
      </x:c>
      <x:c r="B64" s="69" t="n">
        <x:f>IF($A64&lt;='Premissas'!$B$11,EDATE('Premissas'!$B$13,$A64-1),"")</x:f>
        <x:v>48092</x:v>
      </x:c>
      <x:c r="C64" s="72" t="n">
        <x:f>IF($A64&lt;='Premissas'!$B$11,'Premissas'!$B$8*(1+'Premissas'!$B$10)^($A64-1),"")</x:f>
        <x:v>112.73617401825685</x:v>
      </x:c>
      <x:c r="D64" s="75" t="n">
        <x:f>IF($A64&lt;='Premissas'!$B$11,IF($A64=1,'Premissas'!$B$6/'Premissas'!$B$8,K63),"")</x:f>
        <x:v>887.5532180828714</x:v>
      </x:c>
      <x:c r="E64" s="78" t="n">
        <x:f>IF($A64&lt;='Premissas'!$B$11,'Premissas'!$B$7,"")</x:f>
        <x:v>1000</x:v>
      </x:c>
      <x:c r="F64" s="78" t="n">
        <x:f>IF($A64&lt;='Premissas'!$B$11,D64*C64*'Premissas'!$B$9,"")</x:f>
        <x:v>800.4748323540356</x:v>
      </x:c>
      <x:c r="G64" s="78" t="n">
        <x:f>IF($A64&lt;='Premissas'!$B$11,D64*C64*'Premissas'!$B$14,"")</x:f>
        <x:v>0</x:v>
      </x:c>
      <x:c r="H64" s="78" t="n">
        <x:f>IF($A64&lt;='Premissas'!$B$11,MAX(F64-G64,0),"")</x:f>
        <x:v>800.4748323540356</x:v>
      </x:c>
      <x:c r="I64" s="78" t="n">
        <x:f>IF($A64&lt;='Premissas'!$B$11,IF('Premissas'!$B$12="Sim",H64,0),"")</x:f>
        <x:v>800.4748323540356</x:v>
      </x:c>
      <x:c r="J64" s="75" t="n">
        <x:f>IF($A64&lt;='Premissas'!$B$11,(E64+I64)/C64,"")</x:f>
        <x:v>15.97069306310201</x:v>
      </x:c>
      <x:c r="K64" s="75" t="n">
        <x:f>IF($A64&lt;='Premissas'!$B$11,D64+J64,"")</x:f>
        <x:v>903.5239111459733</x:v>
      </x:c>
      <x:c r="L64" s="78" t="n">
        <x:f>IF($A64&lt;='Premissas'!$B$11,K64*C64,"")</x:f>
        <x:v>101859.82887660849</x:v>
      </x:c>
      <x:c r="M64" s="78" t="n">
        <x:f>IF($A64&lt;='Premissas'!$B$11,IF($A64=1,'Premissas'!$B$6+E64,M63+E64),"")</x:f>
        <x:v>71000</x:v>
      </x:c>
      <x:c r="N64" s="78" t="n">
        <x:f>IF($A64&lt;='Premissas'!$B$11,IF($A64=1,H64,N63+H64),"")</x:f>
        <x:v>24713.69691242948</x:v>
      </x:c>
      <x:c r="O64" s="78" t="n">
        <x:f>IF($A64&lt;='Premissas'!$B$11,IF($A64=1,IF('Premissas'!$B$12="Sim",0,H64),O63+IF('Premissas'!$B$12="Sim",0,H64)),"")</x:f>
        <x:v>0</x:v>
      </x:c>
      <x:c r="P64" s="81" t="n">
        <x:f>IF($A64&lt;='Premissas'!$B$11,IF(M64=0,0,(L64+O64)/M64-1),"")</x:f>
        <x:v>0.43464547713533075</x:v>
      </x:c>
      <x:c r="Q64" s="84" t="str">
        <x:f>IF($A64&lt;='Premissas'!$B$11,"Ativo","Fora")</x:f>
        <x:v>Ativo</x:v>
      </x:c>
    </x:row>
    <x:row r="65">
      <x:c r="A65" s="66" t="n">
        <x:v>62</x:v>
      </x:c>
      <x:c r="B65" s="69" t="n">
        <x:f>IF($A65&lt;='Premissas'!$B$11,EDATE('Premissas'!$B$13,$A65-1),"")</x:f>
        <x:v>48122</x:v>
      </x:c>
      <x:c r="C65" s="72" t="n">
        <x:f>IF($A65&lt;='Premissas'!$B$11,'Premissas'!$B$8*(1+'Premissas'!$B$10)^($A65-1),"")</x:f>
        <x:v>112.96164636629334</x:v>
      </x:c>
      <x:c r="D65" s="75" t="n">
        <x:f>IF($A65&lt;='Premissas'!$B$11,IF($A65=1,'Premissas'!$B$6/'Premissas'!$B$8,K64),"")</x:f>
        <x:v>903.5239111459733</x:v>
      </x:c>
      <x:c r="E65" s="78" t="n">
        <x:f>IF($A65&lt;='Premissas'!$B$11,'Premissas'!$B$7,"")</x:f>
        <x:v>1000</x:v>
      </x:c>
      <x:c r="F65" s="78" t="n">
        <x:f>IF($A65&lt;='Premissas'!$B$11,D65*C65*'Premissas'!$B$9,"")</x:f>
        <x:v>816.5083882748935</x:v>
      </x:c>
      <x:c r="G65" s="78" t="n">
        <x:f>IF($A65&lt;='Premissas'!$B$11,D65*C65*'Premissas'!$B$14,"")</x:f>
        <x:v>0</x:v>
      </x:c>
      <x:c r="H65" s="78" t="n">
        <x:f>IF($A65&lt;='Premissas'!$B$11,MAX(F65-G65,0),"")</x:f>
        <x:v>816.5083882748935</x:v>
      </x:c>
      <x:c r="I65" s="78" t="n">
        <x:f>IF($A65&lt;='Premissas'!$B$11,IF('Premissas'!$B$12="Sim",H65,0),"")</x:f>
        <x:v>816.5083882748935</x:v>
      </x:c>
      <x:c r="J65" s="75" t="n">
        <x:f>IF($A65&lt;='Premissas'!$B$11,(E65+I65)/C65,"")</x:f>
        <x:v>16.080753483218725</x:v>
      </x:c>
      <x:c r="K65" s="75" t="n">
        <x:f>IF($A65&lt;='Premissas'!$B$11,D65+J65,"")</x:f>
        <x:v>919.604664629192</x:v>
      </x:c>
      <x:c r="L65" s="78" t="n">
        <x:f>IF($A65&lt;='Premissas'!$B$11,K65*C65,"")</x:f>
        <x:v>103880.05692263658</x:v>
      </x:c>
      <x:c r="M65" s="78" t="n">
        <x:f>IF($A65&lt;='Premissas'!$B$11,IF($A65=1,'Premissas'!$B$6+E65,M64+E65),"")</x:f>
        <x:v>72000</x:v>
      </x:c>
      <x:c r="N65" s="78" t="n">
        <x:f>IF($A65&lt;='Premissas'!$B$11,IF($A65=1,H65,N64+H65),"")</x:f>
        <x:v>25530.205300704376</x:v>
      </x:c>
      <x:c r="O65" s="78" t="n">
        <x:f>IF($A65&lt;='Premissas'!$B$11,IF($A65=1,IF('Premissas'!$B$12="Sim",0,H65),O64+IF('Premissas'!$B$12="Sim",0,H65)),"")</x:f>
        <x:v>0</x:v>
      </x:c>
      <x:c r="P65" s="81" t="n">
        <x:f>IF($A65&lt;='Premissas'!$B$11,IF(M65=0,0,(L65+O65)/M65-1),"")</x:f>
        <x:v>0.44277856836995255</x:v>
      </x:c>
      <x:c r="Q65" s="84" t="str">
        <x:f>IF($A65&lt;='Premissas'!$B$11,"Ativo","Fora")</x:f>
        <x:v>Ativo</x:v>
      </x:c>
    </x:row>
    <x:row r="66">
      <x:c r="A66" s="66" t="n">
        <x:v>63</x:v>
      </x:c>
      <x:c r="B66" s="69" t="n">
        <x:f>IF($A66&lt;='Premissas'!$B$11,EDATE('Premissas'!$B$13,$A66-1),"")</x:f>
        <x:v>48153</x:v>
      </x:c>
      <x:c r="C66" s="72" t="n">
        <x:f>IF($A66&lt;='Premissas'!$B$11,'Premissas'!$B$8*(1+'Premissas'!$B$10)^($A66-1),"")</x:f>
        <x:v>113.18756965902593</x:v>
      </x:c>
      <x:c r="D66" s="75" t="n">
        <x:f>IF($A66&lt;='Premissas'!$B$11,IF($A66=1,'Premissas'!$B$6/'Premissas'!$B$8,K65),"")</x:f>
        <x:v>919.604664629192</x:v>
      </x:c>
      <x:c r="E66" s="78" t="n">
        <x:f>IF($A66&lt;='Premissas'!$B$11,'Premissas'!$B$7,"")</x:f>
        <x:v>1000</x:v>
      </x:c>
      <x:c r="F66" s="78" t="n">
        <x:f>IF($A66&lt;='Premissas'!$B$11,D66*C66*'Premissas'!$B$9,"")</x:f>
        <x:v>832.7025362918548</x:v>
      </x:c>
      <x:c r="G66" s="78" t="n">
        <x:f>IF($A66&lt;='Premissas'!$B$11,D66*C66*'Premissas'!$B$14,"")</x:f>
        <x:v>0</x:v>
      </x:c>
      <x:c r="H66" s="78" t="n">
        <x:f>IF($A66&lt;='Premissas'!$B$11,MAX(F66-G66,0),"")</x:f>
        <x:v>832.7025362918548</x:v>
      </x:c>
      <x:c r="I66" s="78" t="n">
        <x:f>IF($A66&lt;='Premissas'!$B$11,IF('Premissas'!$B$12="Sim",H66,0),"")</x:f>
        <x:v>832.7025362918548</x:v>
      </x:c>
      <x:c r="J66" s="75" t="n">
        <x:f>IF($A66&lt;='Premissas'!$B$11,(E66+I66)/C66,"")</x:f>
        <x:v>16.19172972626601</x:v>
      </x:c>
      <x:c r="K66" s="75" t="n">
        <x:f>IF($A66&lt;='Premissas'!$B$11,D66+J66,"")</x:f>
        <x:v>935.796394355458</x:v>
      </x:c>
      <x:c r="L66" s="78" t="n">
        <x:f>IF($A66&lt;='Premissas'!$B$11,K66*C66,"")</x:f>
        <x:v>105920.5195727737</x:v>
      </x:c>
      <x:c r="M66" s="78" t="n">
        <x:f>IF($A66&lt;='Premissas'!$B$11,IF($A66=1,'Premissas'!$B$6+E66,M65+E66),"")</x:f>
        <x:v>73000</x:v>
      </x:c>
      <x:c r="N66" s="78" t="n">
        <x:f>IF($A66&lt;='Premissas'!$B$11,IF($A66=1,H66,N65+H66),"")</x:f>
        <x:v>26362.90783699623</x:v>
      </x:c>
      <x:c r="O66" s="78" t="n">
        <x:f>IF($A66&lt;='Premissas'!$B$11,IF($A66=1,IF('Premissas'!$B$12="Sim",0,H66),O65+IF('Premissas'!$B$12="Sim",0,H66)),"")</x:f>
        <x:v>0</x:v>
      </x:c>
      <x:c r="P66" s="81" t="n">
        <x:f>IF($A66&lt;='Premissas'!$B$11,IF(M66=0,0,(L66+O66)/M66-1),"")</x:f>
        <x:v>0.4509660215448452</x:v>
      </x:c>
      <x:c r="Q66" s="84" t="str">
        <x:f>IF($A66&lt;='Premissas'!$B$11,"Ativo","Fora")</x:f>
        <x:v>Ativo</x:v>
      </x:c>
    </x:row>
    <x:row r="67">
      <x:c r="A67" s="66" t="n">
        <x:v>64</x:v>
      </x:c>
      <x:c r="B67" s="69" t="n">
        <x:f>IF($A67&lt;='Premissas'!$B$11,EDATE('Premissas'!$B$13,$A67-1),"")</x:f>
        <x:v>48183</x:v>
      </x:c>
      <x:c r="C67" s="72" t="n">
        <x:f>IF($A67&lt;='Premissas'!$B$11,'Premissas'!$B$8*(1+'Premissas'!$B$10)^($A67-1),"")</x:f>
        <x:v>113.41394479834399</x:v>
      </x:c>
      <x:c r="D67" s="75" t="n">
        <x:f>IF($A67&lt;='Premissas'!$B$11,IF($A67=1,'Premissas'!$B$6/'Premissas'!$B$8,K66),"")</x:f>
        <x:v>935.796394355458</x:v>
      </x:c>
      <x:c r="E67" s="78" t="n">
        <x:f>IF($A67&lt;='Premissas'!$B$11,'Premissas'!$B$7,"")</x:f>
        <x:v>1000</x:v>
      </x:c>
      <x:c r="F67" s="78" t="n">
        <x:f>IF($A67&lt;='Premissas'!$B$11,D67*C67*'Premissas'!$B$9,"")</x:f>
        <x:v>849.058884895354</x:v>
      </x:c>
      <x:c r="G67" s="78" t="n">
        <x:f>IF($A67&lt;='Premissas'!$B$11,D67*C67*'Premissas'!$B$14,"")</x:f>
        <x:v>0</x:v>
      </x:c>
      <x:c r="H67" s="78" t="n">
        <x:f>IF($A67&lt;='Premissas'!$B$11,MAX(F67-G67,0),"")</x:f>
        <x:v>849.058884895354</x:v>
      </x:c>
      <x:c r="I67" s="78" t="n">
        <x:f>IF($A67&lt;='Premissas'!$B$11,IF('Premissas'!$B$12="Sim",H67,0),"")</x:f>
        <x:v>849.058884895354</x:v>
      </x:c>
      <x:c r="J67" s="75" t="n">
        <x:f>IF($A67&lt;='Premissas'!$B$11,(E67+I67)/C67,"")</x:f>
        <x:v>16.303629048289245</x:v>
      </x:c>
      <x:c r="K67" s="75" t="n">
        <x:f>IF($A67&lt;='Premissas'!$B$11,D67+J67,"")</x:f>
        <x:v>952.1000234037473</x:v>
      </x:c>
      <x:c r="L67" s="78" t="n">
        <x:f>IF($A67&lt;='Premissas'!$B$11,K67*C67,"")</x:f>
        <x:v>107981.41949681462</x:v>
      </x:c>
      <x:c r="M67" s="78" t="n">
        <x:f>IF($A67&lt;='Premissas'!$B$11,IF($A67=1,'Premissas'!$B$6+E67,M66+E67),"")</x:f>
        <x:v>74000</x:v>
      </x:c>
      <x:c r="N67" s="78" t="n">
        <x:f>IF($A67&lt;='Premissas'!$B$11,IF($A67=1,H67,N66+H67),"")</x:f>
        <x:v>27211.966721891586</x:v>
      </x:c>
      <x:c r="O67" s="78" t="n">
        <x:f>IF($A67&lt;='Premissas'!$B$11,IF($A67=1,IF('Premissas'!$B$12="Sim",0,H67),O66+IF('Premissas'!$B$12="Sim",0,H67)),"")</x:f>
        <x:v>0</x:v>
      </x:c>
      <x:c r="P67" s="81" t="n">
        <x:f>IF($A67&lt;='Premissas'!$B$11,IF(M67=0,0,(L67+O67)/M67-1),"")</x:f>
        <x:v>0.45920837157857597</x:v>
      </x:c>
      <x:c r="Q67" s="84" t="str">
        <x:f>IF($A67&lt;='Premissas'!$B$11,"Ativo","Fora")</x:f>
        <x:v>Ativo</x:v>
      </x:c>
    </x:row>
    <x:row r="68">
      <x:c r="A68" s="66" t="n">
        <x:v>65</x:v>
      </x:c>
      <x:c r="B68" s="69" t="n">
        <x:f>IF($A68&lt;='Premissas'!$B$11,EDATE('Premissas'!$B$13,$A68-1),"")</x:f>
        <x:v>48214</x:v>
      </x:c>
      <x:c r="C68" s="72" t="n">
        <x:f>IF($A68&lt;='Premissas'!$B$11,'Premissas'!$B$8*(1+'Premissas'!$B$10)^($A68-1),"")</x:f>
        <x:v>113.64077268794065</x:v>
      </x:c>
      <x:c r="D68" s="75" t="n">
        <x:f>IF($A68&lt;='Premissas'!$B$11,IF($A68=1,'Premissas'!$B$6/'Premissas'!$B$8,K67),"")</x:f>
        <x:v>952.1000234037473</x:v>
      </x:c>
      <x:c r="E68" s="78" t="n">
        <x:f>IF($A68&lt;='Premissas'!$B$11,'Premissas'!$B$7,"")</x:f>
        <x:v>1000</x:v>
      </x:c>
      <x:c r="F68" s="78" t="n">
        <x:f>IF($A68&lt;='Premissas'!$B$11,D68*C68*'Premissas'!$B$9,"")</x:f>
        <x:v>865.5790586864657</x:v>
      </x:c>
      <x:c r="G68" s="78" t="n">
        <x:f>IF($A68&lt;='Premissas'!$B$11,D68*C68*'Premissas'!$B$14,"")</x:f>
        <x:v>0</x:v>
      </x:c>
      <x:c r="H68" s="78" t="n">
        <x:f>IF($A68&lt;='Premissas'!$B$11,MAX(F68-G68,0),"")</x:f>
        <x:v>865.5790586864657</x:v>
      </x:c>
      <x:c r="I68" s="78" t="n">
        <x:f>IF($A68&lt;='Premissas'!$B$11,IF('Premissas'!$B$12="Sim",H68,0),"")</x:f>
        <x:v>865.5790586864657</x:v>
      </x:c>
      <x:c r="J68" s="75" t="n">
        <x:f>IF($A68&lt;='Premissas'!$B$11,(E68+I68)/C68,"")</x:f>
        <x:v>16.416458763522975</x:v>
      </x:c>
      <x:c r="K68" s="75" t="n">
        <x:f>IF($A68&lt;='Premissas'!$B$11,D68+J68,"")</x:f>
        <x:v>968.5164821672703</x:v>
      </x:c>
      <x:c r="L68" s="78" t="n">
        <x:f>IF($A68&lt;='Premissas'!$B$11,K68*C68,"")</x:f>
        <x:v>110062.96139449469</x:v>
      </x:c>
      <x:c r="M68" s="78" t="n">
        <x:f>IF($A68&lt;='Premissas'!$B$11,IF($A68=1,'Premissas'!$B$6+E68,M67+E68),"")</x:f>
        <x:v>75000</x:v>
      </x:c>
      <x:c r="N68" s="78" t="n">
        <x:f>IF($A68&lt;='Premissas'!$B$11,IF($A68=1,H68,N67+H68),"")</x:f>
        <x:v>28077.54578057805</x:v>
      </x:c>
      <x:c r="O68" s="78" t="n">
        <x:f>IF($A68&lt;='Premissas'!$B$11,IF($A68=1,IF('Premissas'!$B$12="Sim",0,H68),O67+IF('Premissas'!$B$12="Sim",0,H68)),"")</x:f>
        <x:v>0</x:v>
      </x:c>
      <x:c r="P68" s="81" t="n">
        <x:f>IF($A68&lt;='Premissas'!$B$11,IF(M68=0,0,(L68+O68)/M68-1),"")</x:f>
        <x:v>0.46750615192659595</x:v>
      </x:c>
      <x:c r="Q68" s="84" t="str">
        <x:f>IF($A68&lt;='Premissas'!$B$11,"Ativo","Fora")</x:f>
        <x:v>Ativo</x:v>
      </x:c>
    </x:row>
    <x:row r="69">
      <x:c r="A69" s="66" t="n">
        <x:v>66</x:v>
      </x:c>
      <x:c r="B69" s="69" t="n">
        <x:f>IF($A69&lt;='Premissas'!$B$11,EDATE('Premissas'!$B$13,$A69-1),"")</x:f>
        <x:v>48245</x:v>
      </x:c>
      <x:c r="C69" s="72" t="n">
        <x:f>IF($A69&lt;='Premissas'!$B$11,'Premissas'!$B$8*(1+'Premissas'!$B$10)^($A69-1),"")</x:f>
        <x:v>113.86805423331656</x:v>
      </x:c>
      <x:c r="D69" s="75" t="n">
        <x:f>IF($A69&lt;='Premissas'!$B$11,IF($A69=1,'Premissas'!$B$6/'Premissas'!$B$8,K68),"")</x:f>
        <x:v>968.5164821672703</x:v>
      </x:c>
      <x:c r="E69" s="78" t="n">
        <x:f>IF($A69&lt;='Premissas'!$B$11,'Premissas'!$B$7,"")</x:f>
        <x:v>1000</x:v>
      </x:c>
      <x:c r="F69" s="78" t="n">
        <x:f>IF($A69&lt;='Premissas'!$B$11,D69*C69*'Premissas'!$B$9,"")</x:f>
        <x:v>882.2646985382696</x:v>
      </x:c>
      <x:c r="G69" s="78" t="n">
        <x:f>IF($A69&lt;='Premissas'!$B$11,D69*C69*'Premissas'!$B$14,"")</x:f>
        <x:v>0</x:v>
      </x:c>
      <x:c r="H69" s="78" t="n">
        <x:f>IF($A69&lt;='Premissas'!$B$11,MAX(F69-G69,0),"")</x:f>
        <x:v>882.2646985382696</x:v>
      </x:c>
      <x:c r="I69" s="78" t="n">
        <x:f>IF($A69&lt;='Premissas'!$B$11,IF('Premissas'!$B$12="Sim",H69,0),"")</x:f>
        <x:v>882.2646985382696</x:v>
      </x:c>
      <x:c r="J69" s="75" t="n">
        <x:f>IF($A69&lt;='Premissas'!$B$11,(E69+I69)/C69,"")</x:f>
        <x:v>16.530226244856124</x:v>
      </x:c>
      <x:c r="K69" s="75" t="n">
        <x:f>IF($A69&lt;='Premissas'!$B$11,D69+J69,"")</x:f>
        <x:v>985.0467084121265</x:v>
      </x:c>
      <x:c r="L69" s="78" t="n">
        <x:f>IF($A69&lt;='Premissas'!$B$11,K69*C69,"")</x:f>
        <x:v>112165.35201582198</x:v>
      </x:c>
      <x:c r="M69" s="78" t="n">
        <x:f>IF($A69&lt;='Premissas'!$B$11,IF($A69=1,'Premissas'!$B$6+E69,M68+E69),"")</x:f>
        <x:v>76000</x:v>
      </x:c>
      <x:c r="N69" s="78" t="n">
        <x:f>IF($A69&lt;='Premissas'!$B$11,IF($A69=1,H69,N68+H69),"")</x:f>
        <x:v>28959.81047911632</x:v>
      </x:c>
      <x:c r="O69" s="78" t="n">
        <x:f>IF($A69&lt;='Premissas'!$B$11,IF($A69=1,IF('Premissas'!$B$12="Sim",0,H69),O68+IF('Premissas'!$B$12="Sim",0,H69)),"")</x:f>
        <x:v>0</x:v>
      </x:c>
      <x:c r="P69" s="81" t="n">
        <x:f>IF($A69&lt;='Premissas'!$B$11,IF(M69=0,0,(L69+O69)/M69-1),"")</x:f>
        <x:v>0.4758598949450259</x:v>
      </x:c>
      <x:c r="Q69" s="84" t="str">
        <x:f>IF($A69&lt;='Premissas'!$B$11,"Ativo","Fora")</x:f>
        <x:v>Ativo</x:v>
      </x:c>
    </x:row>
    <x:row r="70">
      <x:c r="A70" s="66" t="n">
        <x:v>67</x:v>
      </x:c>
      <x:c r="B70" s="69" t="n">
        <x:f>IF($A70&lt;='Premissas'!$B$11,EDATE('Premissas'!$B$13,$A70-1),"")</x:f>
        <x:v>48274</x:v>
      </x:c>
      <x:c r="C70" s="72" t="n">
        <x:f>IF($A70&lt;='Premissas'!$B$11,'Premissas'!$B$8*(1+'Premissas'!$B$10)^($A70-1),"")</x:f>
        <x:v>114.09579034178319</x:v>
      </x:c>
      <x:c r="D70" s="75" t="n">
        <x:f>IF($A70&lt;='Premissas'!$B$11,IF($A70=1,'Premissas'!$B$6/'Premissas'!$B$8,K69),"")</x:f>
        <x:v>985.0467084121265</x:v>
      </x:c>
      <x:c r="E70" s="78" t="n">
        <x:f>IF($A70&lt;='Premissas'!$B$11,'Premissas'!$B$7,"")</x:f>
        <x:v>1000</x:v>
      </x:c>
      <x:c r="F70" s="78" t="n">
        <x:f>IF($A70&lt;='Premissas'!$B$11,D70*C70*'Premissas'!$B$9,"")</x:f>
        <x:v>899.117461758829</x:v>
      </x:c>
      <x:c r="G70" s="78" t="n">
        <x:f>IF($A70&lt;='Premissas'!$B$11,D70*C70*'Premissas'!$B$14,"")</x:f>
        <x:v>0</x:v>
      </x:c>
      <x:c r="H70" s="78" t="n">
        <x:f>IF($A70&lt;='Premissas'!$B$11,MAX(F70-G70,0),"")</x:f>
        <x:v>899.117461758829</x:v>
      </x:c>
      <x:c r="I70" s="78" t="n">
        <x:f>IF($A70&lt;='Premissas'!$B$11,IF('Premissas'!$B$12="Sim",H70,0),"")</x:f>
        <x:v>899.117461758829</x:v>
      </x:c>
      <x:c r="J70" s="75" t="n">
        <x:f>IF($A70&lt;='Premissas'!$B$11,(E70+I70)/C70,"")</x:f>
        <x:v>16.644938924300966</x:v>
      </x:c>
      <x:c r="K70" s="75" t="n">
        <x:f>IF($A70&lt;='Premissas'!$B$11,D70+J70,"")</x:f>
        <x:v>1001.6916473364274</x:v>
      </x:c>
      <x:c r="L70" s="78" t="n">
        <x:f>IF($A70&lt;='Premissas'!$B$11,K70*C70,"")</x:f>
        <x:v>114288.80018161245</x:v>
      </x:c>
      <x:c r="M70" s="78" t="n">
        <x:f>IF($A70&lt;='Premissas'!$B$11,IF($A70=1,'Premissas'!$B$6+E70,M69+E70),"")</x:f>
        <x:v>77000</x:v>
      </x:c>
      <x:c r="N70" s="78" t="n">
        <x:f>IF($A70&lt;='Premissas'!$B$11,IF($A70=1,H70,N69+H70),"")</x:f>
        <x:v>29858.92794087515</x:v>
      </x:c>
      <x:c r="O70" s="78" t="n">
        <x:f>IF($A70&lt;='Premissas'!$B$11,IF($A70=1,IF('Premissas'!$B$12="Sim",0,H70),O69+IF('Premissas'!$B$12="Sim",0,H70)),"")</x:f>
        <x:v>0</x:v>
      </x:c>
      <x:c r="P70" s="81" t="n">
        <x:f>IF($A70&lt;='Premissas'!$B$11,IF(M70=0,0,(L70+O70)/M70-1),"")</x:f>
        <x:v>0.48427013222873305</x:v>
      </x:c>
      <x:c r="Q70" s="84" t="str">
        <x:f>IF($A70&lt;='Premissas'!$B$11,"Ativo","Fora")</x:f>
        <x:v>Ativo</x:v>
      </x:c>
    </x:row>
    <x:row r="71">
      <x:c r="A71" s="66" t="n">
        <x:v>68</x:v>
      </x:c>
      <x:c r="B71" s="69" t="n">
        <x:f>IF($A71&lt;='Premissas'!$B$11,EDATE('Premissas'!$B$13,$A71-1),"")</x:f>
        <x:v>48305</x:v>
      </x:c>
      <x:c r="C71" s="72" t="n">
        <x:f>IF($A71&lt;='Premissas'!$B$11,'Premissas'!$B$8*(1+'Premissas'!$B$10)^($A71-1),"")</x:f>
        <x:v>114.32398192246676</x:v>
      </x:c>
      <x:c r="D71" s="75" t="n">
        <x:f>IF($A71&lt;='Premissas'!$B$11,IF($A71=1,'Premissas'!$B$6/'Premissas'!$B$8,K70),"")</x:f>
        <x:v>1001.6916473364274</x:v>
      </x:c>
      <x:c r="E71" s="78" t="n">
        <x:f>IF($A71&lt;='Premissas'!$B$11,'Premissas'!$B$7,"")</x:f>
        <x:v>1000</x:v>
      </x:c>
      <x:c r="F71" s="78" t="n">
        <x:f>IF($A71&lt;='Premissas'!$B$11,D71*C71*'Premissas'!$B$9,"")</x:f>
        <x:v>916.1390222558055</x:v>
      </x:c>
      <x:c r="G71" s="78" t="n">
        <x:f>IF($A71&lt;='Premissas'!$B$11,D71*C71*'Premissas'!$B$14,"")</x:f>
        <x:v>0</x:v>
      </x:c>
      <x:c r="H71" s="78" t="n">
        <x:f>IF($A71&lt;='Premissas'!$B$11,MAX(F71-G71,0),"")</x:f>
        <x:v>916.1390222558055</x:v>
      </x:c>
      <x:c r="I71" s="78" t="n">
        <x:f>IF($A71&lt;='Premissas'!$B$11,IF('Premissas'!$B$12="Sim",H71,0),"")</x:f>
        <x:v>916.1390222558055</x:v>
      </x:c>
      <x:c r="J71" s="75" t="n">
        <x:f>IF($A71&lt;='Premissas'!$B$11,(E71+I71)/C71,"")</x:f>
        <x:v>16.76060429346582</x:v>
      </x:c>
      <x:c r="K71" s="75" t="n">
        <x:f>IF($A71&lt;='Premissas'!$B$11,D71+J71,"")</x:f>
        <x:v>1018.4522516298932</x:v>
      </x:c>
      <x:c r="L71" s="78" t="n">
        <x:f>IF($A71&lt;='Premissas'!$B$11,K71*C71,"")</x:f>
        <x:v>116433.51680423148</x:v>
      </x:c>
      <x:c r="M71" s="78" t="n">
        <x:f>IF($A71&lt;='Premissas'!$B$11,IF($A71=1,'Premissas'!$B$6+E71,M70+E71),"")</x:f>
        <x:v>78000</x:v>
      </x:c>
      <x:c r="N71" s="78" t="n">
        <x:f>IF($A71&lt;='Premissas'!$B$11,IF($A71=1,H71,N70+H71),"")</x:f>
        <x:v>30775.066963130954</x:v>
      </x:c>
      <x:c r="O71" s="78" t="n">
        <x:f>IF($A71&lt;='Premissas'!$B$11,IF($A71=1,IF('Premissas'!$B$12="Sim",0,H71),O70+IF('Premissas'!$B$12="Sim",0,H71)),"")</x:f>
        <x:v>0</x:v>
      </x:c>
      <x:c r="P71" s="81" t="n">
        <x:f>IF($A71&lt;='Premissas'!$B$11,IF(M71=0,0,(L71+O71)/M71-1),"")</x:f>
        <x:v>0.4927373949260445</x:v>
      </x:c>
      <x:c r="Q71" s="84" t="str">
        <x:f>IF($A71&lt;='Premissas'!$B$11,"Ativo","Fora")</x:f>
        <x:v>Ativo</x:v>
      </x:c>
    </x:row>
    <x:row r="72">
      <x:c r="A72" s="66" t="n">
        <x:v>69</x:v>
      </x:c>
      <x:c r="B72" s="69" t="n">
        <x:f>IF($A72&lt;='Premissas'!$B$11,EDATE('Premissas'!$B$13,$A72-1),"")</x:f>
        <x:v>48335</x:v>
      </x:c>
      <x:c r="C72" s="72" t="n">
        <x:f>IF($A72&lt;='Premissas'!$B$11,'Premissas'!$B$8*(1+'Premissas'!$B$10)^($A72-1),"")</x:f>
        <x:v>114.55262988631169</x:v>
      </x:c>
      <x:c r="D72" s="75" t="n">
        <x:f>IF($A72&lt;='Premissas'!$B$11,IF($A72=1,'Premissas'!$B$6/'Premissas'!$B$8,K71),"")</x:f>
        <x:v>1018.4522516298932</x:v>
      </x:c>
      <x:c r="E72" s="78" t="n">
        <x:f>IF($A72&lt;='Premissas'!$B$11,'Premissas'!$B$7,"")</x:f>
        <x:v>1000</x:v>
      </x:c>
      <x:c r="F72" s="78" t="n">
        <x:f>IF($A72&lt;='Premissas'!$B$11,D72*C72*'Premissas'!$B$9,"")</x:f>
        <x:v>933.3310707027196</x:v>
      </x:c>
      <x:c r="G72" s="78" t="n">
        <x:f>IF($A72&lt;='Premissas'!$B$11,D72*C72*'Premissas'!$B$14,"")</x:f>
        <x:v>0</x:v>
      </x:c>
      <x:c r="H72" s="78" t="n">
        <x:f>IF($A72&lt;='Premissas'!$B$11,MAX(F72-G72,0),"")</x:f>
        <x:v>933.3310707027196</x:v>
      </x:c>
      <x:c r="I72" s="78" t="n">
        <x:f>IF($A72&lt;='Premissas'!$B$11,IF('Premissas'!$B$12="Sim",H72,0),"")</x:f>
        <x:v>933.3310707027196</x:v>
      </x:c>
      <x:c r="J72" s="75" t="n">
        <x:f>IF($A72&lt;='Premissas'!$B$11,(E72+I72)/C72,"")</x:f>
        <x:v>16.877229904031562</x:v>
      </x:c>
      <x:c r="K72" s="75" t="n">
        <x:f>IF($A72&lt;='Premissas'!$B$11,D72+J72,"")</x:f>
        <x:v>1035.3294815339248</x:v>
      </x:c>
      <x:c r="L72" s="78" t="n">
        <x:f>IF($A72&lt;='Premissas'!$B$11,K72*C72,"")</x:f>
        <x:v>118599.71490854266</x:v>
      </x:c>
      <x:c r="M72" s="78" t="n">
        <x:f>IF($A72&lt;='Premissas'!$B$11,IF($A72=1,'Premissas'!$B$6+E72,M71+E72),"")</x:f>
        <x:v>79000</x:v>
      </x:c>
      <x:c r="N72" s="78" t="n">
        <x:f>IF($A72&lt;='Premissas'!$B$11,IF($A72=1,H72,N71+H72),"")</x:f>
        <x:v>31708.398033833673</x:v>
      </x:c>
      <x:c r="O72" s="78" t="n">
        <x:f>IF($A72&lt;='Premissas'!$B$11,IF($A72=1,IF('Premissas'!$B$12="Sim",0,H72),O71+IF('Premissas'!$B$12="Sim",0,H72)),"")</x:f>
        <x:v>0</x:v>
      </x:c>
      <x:c r="P72" s="81" t="n">
        <x:f>IF($A72&lt;='Premissas'!$B$11,IF(M72=0,0,(L72+O72)/M72-1),"")</x:f>
        <x:v>0.5012622140321856</x:v>
      </x:c>
      <x:c r="Q72" s="84" t="str">
        <x:f>IF($A72&lt;='Premissas'!$B$11,"Ativo","Fora")</x:f>
        <x:v>Ativo</x:v>
      </x:c>
    </x:row>
    <x:row r="73">
      <x:c r="A73" s="66" t="n">
        <x:v>70</x:v>
      </x:c>
      <x:c r="B73" s="69" t="n">
        <x:f>IF($A73&lt;='Premissas'!$B$11,EDATE('Premissas'!$B$13,$A73-1),"")</x:f>
        <x:v>48366</x:v>
      </x:c>
      <x:c r="C73" s="72" t="n">
        <x:f>IF($A73&lt;='Premissas'!$B$11,'Premissas'!$B$8*(1+'Premissas'!$B$10)^($A73-1),"")</x:f>
        <x:v>114.78173514608432</x:v>
      </x:c>
      <x:c r="D73" s="75" t="n">
        <x:f>IF($A73&lt;='Premissas'!$B$11,IF($A73=1,'Premissas'!$B$6/'Premissas'!$B$8,K72),"")</x:f>
        <x:v>1035.3294815339248</x:v>
      </x:c>
      <x:c r="E73" s="78" t="n">
        <x:f>IF($A73&lt;='Premissas'!$B$11,'Premissas'!$B$7,"")</x:f>
        <x:v>1000</x:v>
      </x:c>
      <x:c r="F73" s="78" t="n">
        <x:f>IF($A73&lt;='Premissas'!$B$11,D73*C73*'Premissas'!$B$9,"")</x:f>
        <x:v>950.695314706878</x:v>
      </x:c>
      <x:c r="G73" s="78" t="n">
        <x:f>IF($A73&lt;='Premissas'!$B$11,D73*C73*'Premissas'!$B$14,"")</x:f>
        <x:v>0</x:v>
      </x:c>
      <x:c r="H73" s="78" t="n">
        <x:f>IF($A73&lt;='Premissas'!$B$11,MAX(F73-G73,0),"")</x:f>
        <x:v>950.695314706878</x:v>
      </x:c>
      <x:c r="I73" s="78" t="n">
        <x:f>IF($A73&lt;='Premissas'!$B$11,IF('Premissas'!$B$12="Sim",H73,0),"")</x:f>
        <x:v>950.695314706878</x:v>
      </x:c>
      <x:c r="J73" s="75" t="n">
        <x:f>IF($A73&lt;='Premissas'!$B$11,(E73+I73)/C73,"")</x:f>
        <x:v>16.994823368231895</x:v>
      </x:c>
      <x:c r="K73" s="75" t="n">
        <x:f>IF($A73&lt;='Premissas'!$B$11,D73+J73,"")</x:f>
        <x:v>1052.3243049021567</x:v>
      </x:c>
      <x:c r="L73" s="78" t="n">
        <x:f>IF($A73&lt;='Premissas'!$B$11,K73*C73,"")</x:f>
        <x:v>120787.60965306663</x:v>
      </x:c>
      <x:c r="M73" s="78" t="n">
        <x:f>IF($A73&lt;='Premissas'!$B$11,IF($A73=1,'Premissas'!$B$6+E73,M72+E73),"")</x:f>
        <x:v>80000</x:v>
      </x:c>
      <x:c r="N73" s="78" t="n">
        <x:f>IF($A73&lt;='Premissas'!$B$11,IF($A73=1,H73,N72+H73),"")</x:f>
        <x:v>32659.09334854055</x:v>
      </x:c>
      <x:c r="O73" s="78" t="n">
        <x:f>IF($A73&lt;='Premissas'!$B$11,IF($A73=1,IF('Premissas'!$B$12="Sim",0,H73),O72+IF('Premissas'!$B$12="Sim",0,H73)),"")</x:f>
        <x:v>0</x:v>
      </x:c>
      <x:c r="P73" s="81" t="n">
        <x:f>IF($A73&lt;='Premissas'!$B$11,IF(M73=0,0,(L73+O73)/M73-1),"")</x:f>
        <x:v>0.5098451206633328</x:v>
      </x:c>
      <x:c r="Q73" s="84" t="str">
        <x:f>IF($A73&lt;='Premissas'!$B$11,"Ativo","Fora")</x:f>
        <x:v>Ativo</x:v>
      </x:c>
    </x:row>
    <x:row r="74">
      <x:c r="A74" s="66" t="n">
        <x:v>71</x:v>
      </x:c>
      <x:c r="B74" s="69" t="n">
        <x:f>IF($A74&lt;='Premissas'!$B$11,EDATE('Premissas'!$B$13,$A74-1),"")</x:f>
        <x:v>48396</x:v>
      </x:c>
      <x:c r="C74" s="72" t="n">
        <x:f>IF($A74&lt;='Premissas'!$B$11,'Premissas'!$B$8*(1+'Premissas'!$B$10)^($A74-1),"")</x:f>
        <x:v>115.0112986163765</x:v>
      </x:c>
      <x:c r="D74" s="75" t="n">
        <x:f>IF($A74&lt;='Premissas'!$B$11,IF($A74=1,'Premissas'!$B$6/'Premissas'!$B$8,K73),"")</x:f>
        <x:v>1052.3243049021567</x:v>
      </x:c>
      <x:c r="E74" s="78" t="n">
        <x:f>IF($A74&lt;='Premissas'!$B$11,'Premissas'!$B$7,"")</x:f>
        <x:v>1000</x:v>
      </x:c>
      <x:c r="F74" s="78" t="n">
        <x:f>IF($A74&lt;='Premissas'!$B$11,D74*C74*'Premissas'!$B$9,"")</x:f>
        <x:v>968.2334789789821</x:v>
      </x:c>
      <x:c r="G74" s="78" t="n">
        <x:f>IF($A74&lt;='Premissas'!$B$11,D74*C74*'Premissas'!$B$14,"")</x:f>
        <x:v>0</x:v>
      </x:c>
      <x:c r="H74" s="78" t="n">
        <x:f>IF($A74&lt;='Premissas'!$B$11,MAX(F74-G74,0),"")</x:f>
        <x:v>968.2334789789821</x:v>
      </x:c>
      <x:c r="I74" s="78" t="n">
        <x:f>IF($A74&lt;='Premissas'!$B$11,IF('Premissas'!$B$12="Sim",H74,0),"")</x:f>
        <x:v>968.2334789789821</x:v>
      </x:c>
      <x:c r="J74" s="75" t="n">
        <x:f>IF($A74&lt;='Premissas'!$B$11,(E74+I74)/C74,"")</x:f>
        <x:v>17.113392359337507</x:v>
      </x:c>
      <x:c r="K74" s="75" t="n">
        <x:f>IF($A74&lt;='Premissas'!$B$11,D74+J74,"")</x:f>
        <x:v>1069.4376972614941</x:v>
      </x:c>
      <x:c r="L74" s="78" t="n">
        <x:f>IF($A74&lt;='Premissas'!$B$11,K74*C74,"")</x:f>
        <x:v>122997.41835135173</x:v>
      </x:c>
      <x:c r="M74" s="78" t="n">
        <x:f>IF($A74&lt;='Premissas'!$B$11,IF($A74=1,'Premissas'!$B$6+E74,M73+E74),"")</x:f>
        <x:v>81000</x:v>
      </x:c>
      <x:c r="N74" s="78" t="n">
        <x:f>IF($A74&lt;='Premissas'!$B$11,IF($A74=1,H74,N73+H74),"")</x:f>
        <x:v>33627.32682751954</x:v>
      </x:c>
      <x:c r="O74" s="78" t="n">
        <x:f>IF($A74&lt;='Premissas'!$B$11,IF($A74=1,IF('Premissas'!$B$12="Sim",0,H74),O73+IF('Premissas'!$B$12="Sim",0,H74)),"")</x:f>
        <x:v>0</x:v>
      </x:c>
      <x:c r="P74" s="81" t="n">
        <x:f>IF($A74&lt;='Premissas'!$B$11,IF(M74=0,0,(L74+O74)/M74-1),"")</x:f>
        <x:v>0.5184866463129845</x:v>
      </x:c>
      <x:c r="Q74" s="84" t="str">
        <x:f>IF($A74&lt;='Premissas'!$B$11,"Ativo","Fora")</x:f>
        <x:v>Ativo</x:v>
      </x:c>
    </x:row>
    <x:row r="75">
      <x:c r="A75" s="66" t="n">
        <x:v>72</x:v>
      </x:c>
      <x:c r="B75" s="69" t="n">
        <x:f>IF($A75&lt;='Premissas'!$B$11,EDATE('Premissas'!$B$13,$A75-1),"")</x:f>
        <x:v>48427</x:v>
      </x:c>
      <x:c r="C75" s="72" t="n">
        <x:f>IF($A75&lt;='Premissas'!$B$11,'Premissas'!$B$8*(1+'Premissas'!$B$10)^($A75-1),"")</x:f>
        <x:v>115.24132121360924</x:v>
      </x:c>
      <x:c r="D75" s="75" t="n">
        <x:f>IF($A75&lt;='Premissas'!$B$11,IF($A75=1,'Premissas'!$B$6/'Premissas'!$B$8,K74),"")</x:f>
        <x:v>1069.4376972614941</x:v>
      </x:c>
      <x:c r="E75" s="78" t="n">
        <x:f>IF($A75&lt;='Premissas'!$B$11,'Premissas'!$B$7,"")</x:f>
        <x:v>1000</x:v>
      </x:c>
      <x:c r="F75" s="78" t="n">
        <x:f>IF($A75&lt;='Premissas'!$B$11,D75*C75*'Premissas'!$B$9,"")</x:f>
        <x:v>985.9473055044356</x:v>
      </x:c>
      <x:c r="G75" s="78" t="n">
        <x:f>IF($A75&lt;='Premissas'!$B$11,D75*C75*'Premissas'!$B$14,"")</x:f>
        <x:v>0</x:v>
      </x:c>
      <x:c r="H75" s="78" t="n">
        <x:f>IF($A75&lt;='Premissas'!$B$11,MAX(F75-G75,0),"")</x:f>
        <x:v>985.9473055044356</x:v>
      </x:c>
      <x:c r="I75" s="78" t="n">
        <x:f>IF($A75&lt;='Premissas'!$B$11,IF('Premissas'!$B$12="Sim",H75,0),"")</x:f>
        <x:v>985.9473055044356</x:v>
      </x:c>
      <x:c r="J75" s="75" t="n">
        <x:f>IF($A75&lt;='Premissas'!$B$11,(E75+I75)/C75,"")</x:f>
        <x:v>17.232944612144106</x:v>
      </x:c>
      <x:c r="K75" s="75" t="n">
        <x:f>IF($A75&lt;='Premissas'!$B$11,D75+J75,"")</x:f>
        <x:v>1086.6706418736383</x:v>
      </x:c>
      <x:c r="L75" s="78" t="n">
        <x:f>IF($A75&lt;='Premissas'!$B$11,K75*C75,"")</x:f>
        <x:v>125229.36049355888</x:v>
      </x:c>
      <x:c r="M75" s="78" t="n">
        <x:f>IF($A75&lt;='Premissas'!$B$11,IF($A75=1,'Premissas'!$B$6+E75,M74+E75),"")</x:f>
        <x:v>82000</x:v>
      </x:c>
      <x:c r="N75" s="78" t="n">
        <x:f>IF($A75&lt;='Premissas'!$B$11,IF($A75=1,H75,N74+H75),"")</x:f>
        <x:v>34613.27413302397</x:v>
      </x:c>
      <x:c r="O75" s="78" t="n">
        <x:f>IF($A75&lt;='Premissas'!$B$11,IF($A75=1,IF('Premissas'!$B$12="Sim",0,H75),O74+IF('Premissas'!$B$12="Sim",0,H75)),"")</x:f>
        <x:v>0</x:v>
      </x:c>
      <x:c r="P75" s="81" t="n">
        <x:f>IF($A75&lt;='Premissas'!$B$11,IF(M75=0,0,(L75+O75)/M75-1),"")</x:f>
        <x:v>0.5271873230921815</x:v>
      </x:c>
      <x:c r="Q75" s="84" t="str">
        <x:f>IF($A75&lt;='Premissas'!$B$11,"Ativo","Fora")</x:f>
        <x:v>Ativo</x:v>
      </x:c>
    </x:row>
    <x:row r="76">
      <x:c r="A76" s="66" t="n">
        <x:v>73</x:v>
      </x:c>
      <x:c r="B76" s="69" t="n">
        <x:f>IF($A76&lt;='Premissas'!$B$11,EDATE('Premissas'!$B$13,$A76-1),"")</x:f>
        <x:v>48458</x:v>
      </x:c>
      <x:c r="C76" s="72" t="n">
        <x:f>IF($A76&lt;='Premissas'!$B$11,'Premissas'!$B$8*(1+'Premissas'!$B$10)^($A76-1),"")</x:f>
        <x:v>115.47180385603646</x:v>
      </x:c>
      <x:c r="D76" s="75" t="n">
        <x:f>IF($A76&lt;='Premissas'!$B$11,IF($A76=1,'Premissas'!$B$6/'Premissas'!$B$8,K75),"")</x:f>
        <x:v>1086.6706418736383</x:v>
      </x:c>
      <x:c r="E76" s="78" t="n">
        <x:f>IF($A76&lt;='Premissas'!$B$11,'Premissas'!$B$7,"")</x:f>
        <x:v>1000</x:v>
      </x:c>
      <x:c r="F76" s="78" t="n">
        <x:f>IF($A76&lt;='Premissas'!$B$11,D76*C76*'Premissas'!$B$9,"")</x:f>
        <x:v>1003.838553716368</x:v>
      </x:c>
      <x:c r="G76" s="78" t="n">
        <x:f>IF($A76&lt;='Premissas'!$B$11,D76*C76*'Premissas'!$B$14,"")</x:f>
        <x:v>0</x:v>
      </x:c>
      <x:c r="H76" s="78" t="n">
        <x:f>IF($A76&lt;='Premissas'!$B$11,MAX(F76-G76,0),"")</x:f>
        <x:v>1003.838553716368</x:v>
      </x:c>
      <x:c r="I76" s="78" t="n">
        <x:f>IF($A76&lt;='Premissas'!$B$11,IF('Premissas'!$B$12="Sim",H76,0),"")</x:f>
        <x:v>1003.838553716368</x:v>
      </x:c>
      <x:c r="J76" s="75" t="n">
        <x:f>IF($A76&lt;='Premissas'!$B$11,(E76+I76)/C76,"")</x:f>
        <x:v>17.353487923464307</x:v>
      </x:c>
      <x:c r="K76" s="75" t="n">
        <x:f>IF($A76&lt;='Premissas'!$B$11,D76+J76,"")</x:f>
        <x:v>1104.0241297971027</x:v>
      </x:c>
      <x:c r="L76" s="78" t="n">
        <x:f>IF($A76&lt;='Premissas'!$B$11,K76*C76,"")</x:f>
        <x:v>127483.65776826238</x:v>
      </x:c>
      <x:c r="M76" s="78" t="n">
        <x:f>IF($A76&lt;='Premissas'!$B$11,IF($A76=1,'Premissas'!$B$6+E76,M75+E76),"")</x:f>
        <x:v>83000</x:v>
      </x:c>
      <x:c r="N76" s="78" t="n">
        <x:f>IF($A76&lt;='Premissas'!$B$11,IF($A76=1,H76,N75+H76),"")</x:f>
        <x:v>35617.11268674034</x:v>
      </x:c>
      <x:c r="O76" s="78" t="n">
        <x:f>IF($A76&lt;='Premissas'!$B$11,IF($A76=1,IF('Premissas'!$B$12="Sim",0,H76),O75+IF('Premissas'!$B$12="Sim",0,H76)),"")</x:f>
        <x:v>0</x:v>
      </x:c>
      <x:c r="P76" s="81" t="n">
        <x:f>IF($A76&lt;='Premissas'!$B$11,IF(M76=0,0,(L76+O76)/M76-1),"")</x:f>
        <x:v>0.5359476839549684</x:v>
      </x:c>
      <x:c r="Q76" s="84" t="str">
        <x:f>IF($A76&lt;='Premissas'!$B$11,"Ativo","Fora")</x:f>
        <x:v>Ativo</x:v>
      </x:c>
    </x:row>
    <x:row r="77">
      <x:c r="A77" s="66" t="n">
        <x:v>74</x:v>
      </x:c>
      <x:c r="B77" s="69" t="n">
        <x:f>IF($A77&lt;='Premissas'!$B$11,EDATE('Premissas'!$B$13,$A77-1),"")</x:f>
        <x:v>48488</x:v>
      </x:c>
      <x:c r="C77" s="72" t="n">
        <x:f>IF($A77&lt;='Premissas'!$B$11,'Premissas'!$B$8*(1+'Premissas'!$B$10)^($A77-1),"")</x:f>
        <x:v>115.70274746374854</x:v>
      </x:c>
      <x:c r="D77" s="75" t="n">
        <x:f>IF($A77&lt;='Premissas'!$B$11,IF($A77=1,'Premissas'!$B$6/'Premissas'!$B$8,K76),"")</x:f>
        <x:v>1104.0241297971027</x:v>
      </x:c>
      <x:c r="E77" s="78" t="n">
        <x:f>IF($A77&lt;='Premissas'!$B$11,'Premissas'!$B$7,"")</x:f>
        <x:v>1000</x:v>
      </x:c>
      <x:c r="F77" s="78" t="n">
        <x:f>IF($A77&lt;='Premissas'!$B$11,D77*C77*'Premissas'!$B$9,"")</x:f>
        <x:v>1021.9090006703913</x:v>
      </x:c>
      <x:c r="G77" s="78" t="n">
        <x:f>IF($A77&lt;='Premissas'!$B$11,D77*C77*'Premissas'!$B$14,"")</x:f>
        <x:v>0</x:v>
      </x:c>
      <x:c r="H77" s="78" t="n">
        <x:f>IF($A77&lt;='Premissas'!$B$11,MAX(F77-G77,0),"")</x:f>
        <x:v>1021.9090006703913</x:v>
      </x:c>
      <x:c r="I77" s="78" t="n">
        <x:f>IF($A77&lt;='Premissas'!$B$11,IF('Premissas'!$B$12="Sim",H77,0),"")</x:f>
        <x:v>1021.9090006703913</x:v>
      </x:c>
      <x:c r="J77" s="75" t="n">
        <x:f>IF($A77&lt;='Premissas'!$B$11,(E77+I77)/C77,"")</x:f>
        <x:v>17.475030152623532</x:v>
      </x:c>
      <x:c r="K77" s="75" t="n">
        <x:f>IF($A77&lt;='Premissas'!$B$11,D77+J77,"")</x:f>
        <x:v>1121.4991599497262</x:v>
      </x:c>
      <x:c r="L77" s="78" t="n">
        <x:f>IF($A77&lt;='Premissas'!$B$11,K77*C77,"")</x:f>
        <x:v>129760.5340844693</x:v>
      </x:c>
      <x:c r="M77" s="78" t="n">
        <x:f>IF($A77&lt;='Premissas'!$B$11,IF($A77=1,'Premissas'!$B$6+E77,M76+E77),"")</x:f>
        <x:v>84000</x:v>
      </x:c>
      <x:c r="N77" s="78" t="n">
        <x:f>IF($A77&lt;='Premissas'!$B$11,IF($A77=1,H77,N76+H77),"")</x:f>
        <x:v>36639.021687410735</x:v>
      </x:c>
      <x:c r="O77" s="78" t="n">
        <x:f>IF($A77&lt;='Premissas'!$B$11,IF($A77=1,IF('Premissas'!$B$12="Sim",0,H77),O76+IF('Premissas'!$B$12="Sim",0,H77)),"")</x:f>
        <x:v>0</x:v>
      </x:c>
      <x:c r="P77" s="81" t="n">
        <x:f>IF($A77&lt;='Premissas'!$B$11,IF(M77=0,0,(L77+O77)/M77-1),"")</x:f>
        <x:v>0.5447682629103487</x:v>
      </x:c>
      <x:c r="Q77" s="84" t="str">
        <x:f>IF($A77&lt;='Premissas'!$B$11,"Ativo","Fora")</x:f>
        <x:v>Ativo</x:v>
      </x:c>
    </x:row>
    <x:row r="78">
      <x:c r="A78" s="66" t="n">
        <x:v>75</x:v>
      </x:c>
      <x:c r="B78" s="69" t="n">
        <x:f>IF($A78&lt;='Premissas'!$B$11,EDATE('Premissas'!$B$13,$A78-1),"")</x:f>
        <x:v>48519</x:v>
      </x:c>
      <x:c r="C78" s="72" t="n">
        <x:f>IF($A78&lt;='Premissas'!$B$11,'Premissas'!$B$8*(1+'Premissas'!$B$10)^($A78-1),"")</x:f>
        <x:v>115.93415295867602</x:v>
      </x:c>
      <x:c r="D78" s="75" t="n">
        <x:f>IF($A78&lt;='Premissas'!$B$11,IF($A78=1,'Premissas'!$B$6/'Premissas'!$B$8,K77),"")</x:f>
        <x:v>1121.4991599497262</x:v>
      </x:c>
      <x:c r="E78" s="78" t="n">
        <x:f>IF($A78&lt;='Premissas'!$B$11,'Premissas'!$B$7,"")</x:f>
        <x:v>1000</x:v>
      </x:c>
      <x:c r="F78" s="78" t="n">
        <x:f>IF($A78&lt;='Premissas'!$B$11,D78*C78*'Premissas'!$B$9,"")</x:f>
        <x:v>1040.1604412211059</x:v>
      </x:c>
      <x:c r="G78" s="78" t="n">
        <x:f>IF($A78&lt;='Premissas'!$B$11,D78*C78*'Premissas'!$B$14,"")</x:f>
        <x:v>0</x:v>
      </x:c>
      <x:c r="H78" s="78" t="n">
        <x:f>IF($A78&lt;='Premissas'!$B$11,MAX(F78-G78,0),"")</x:f>
        <x:v>1040.1604412211059</x:v>
      </x:c>
      <x:c r="I78" s="78" t="n">
        <x:f>IF($A78&lt;='Premissas'!$B$11,IF('Premissas'!$B$12="Sim",H78,0),"")</x:f>
        <x:v>1040.1604412211059</x:v>
      </x:c>
      <x:c r="J78" s="75" t="n">
        <x:f>IF($A78&lt;='Premissas'!$B$11,(E78+I78)/C78,"")</x:f>
        <x:v>17.597579221959794</x:v>
      </x:c>
      <x:c r="K78" s="75" t="n">
        <x:f>IF($A78&lt;='Premissas'!$B$11,D78+J78,"")</x:f>
        <x:v>1139.096739171686</x:v>
      </x:c>
      <x:c r="L78" s="78" t="n">
        <x:f>IF($A78&lt;='Premissas'!$B$11,K78*C78,"")</x:f>
        <x:v>132060.21559385935</x:v>
      </x:c>
      <x:c r="M78" s="78" t="n">
        <x:f>IF($A78&lt;='Premissas'!$B$11,IF($A78=1,'Premissas'!$B$6+E78,M77+E78),"")</x:f>
        <x:v>85000</x:v>
      </x:c>
      <x:c r="N78" s="78" t="n">
        <x:f>IF($A78&lt;='Premissas'!$B$11,IF($A78=1,H78,N77+H78),"")</x:f>
        <x:v>37679.182128631845</x:v>
      </x:c>
      <x:c r="O78" s="78" t="n">
        <x:f>IF($A78&lt;='Premissas'!$B$11,IF($A78=1,IF('Premissas'!$B$12="Sim",0,H78),O77+IF('Premissas'!$B$12="Sim",0,H78)),"")</x:f>
        <x:v>0</x:v>
      </x:c>
      <x:c r="P78" s="81" t="n">
        <x:f>IF($A78&lt;='Premissas'!$B$11,IF(M78=0,0,(L78+O78)/M78-1),"")</x:f>
        <x:v>0.5536495952218747</x:v>
      </x:c>
      <x:c r="Q78" s="84" t="str">
        <x:f>IF($A78&lt;='Premissas'!$B$11,"Ativo","Fora")</x:f>
        <x:v>Ativo</x:v>
      </x:c>
    </x:row>
    <x:row r="79">
      <x:c r="A79" s="66" t="n">
        <x:v>76</x:v>
      </x:c>
      <x:c r="B79" s="69" t="n">
        <x:f>IF($A79&lt;='Premissas'!$B$11,EDATE('Premissas'!$B$13,$A79-1),"")</x:f>
        <x:v>48549</x:v>
      </x:c>
      <x:c r="C79" s="72" t="n">
        <x:f>IF($A79&lt;='Premissas'!$B$11,'Premissas'!$B$8*(1+'Premissas'!$B$10)^($A79-1),"")</x:f>
        <x:v>116.16602126459337</x:v>
      </x:c>
      <x:c r="D79" s="75" t="n">
        <x:f>IF($A79&lt;='Premissas'!$B$11,IF($A79=1,'Premissas'!$B$6/'Premissas'!$B$8,K78),"")</x:f>
        <x:v>1139.096739171686</x:v>
      </x:c>
      <x:c r="E79" s="78" t="n">
        <x:f>IF($A79&lt;='Premissas'!$B$11,'Premissas'!$B$7,"")</x:f>
        <x:v>1000</x:v>
      </x:c>
      <x:c r="F79" s="78" t="n">
        <x:f>IF($A79&lt;='Premissas'!$B$11,D79*C79*'Premissas'!$B$9,"")</x:f>
        <x:v>1058.5946882003766</x:v>
      </x:c>
      <x:c r="G79" s="78" t="n">
        <x:f>IF($A79&lt;='Premissas'!$B$11,D79*C79*'Premissas'!$B$14,"")</x:f>
        <x:v>0</x:v>
      </x:c>
      <x:c r="H79" s="78" t="n">
        <x:f>IF($A79&lt;='Premissas'!$B$11,MAX(F79-G79,0),"")</x:f>
        <x:v>1058.5946882003766</x:v>
      </x:c>
      <x:c r="I79" s="78" t="n">
        <x:f>IF($A79&lt;='Premissas'!$B$11,IF('Premissas'!$B$12="Sim",H79,0),"")</x:f>
        <x:v>1058.5946882003766</x:v>
      </x:c>
      <x:c r="J79" s="75" t="n">
        <x:f>IF($A79&lt;='Premissas'!$B$11,(E79+I79)/C79,"")</x:f>
        <x:v>17.721143117327564</x:v>
      </x:c>
      <x:c r="K79" s="75" t="n">
        <x:f>IF($A79&lt;='Premissas'!$B$11,D79+J79,"")</x:f>
        <x:v>1156.8178822890136</x:v>
      </x:c>
      <x:c r="L79" s="78" t="n">
        <x:f>IF($A79&lt;='Premissas'!$B$11,K79*C79,"")</x:f>
        <x:v>134382.93071324742</x:v>
      </x:c>
      <x:c r="M79" s="78" t="n">
        <x:f>IF($A79&lt;='Premissas'!$B$11,IF($A79=1,'Premissas'!$B$6+E79,M78+E79),"")</x:f>
        <x:v>86000</x:v>
      </x:c>
      <x:c r="N79" s="78" t="n">
        <x:f>IF($A79&lt;='Premissas'!$B$11,IF($A79=1,H79,N78+H79),"")</x:f>
        <x:v>38737.77681683222</x:v>
      </x:c>
      <x:c r="O79" s="78" t="n">
        <x:f>IF($A79&lt;='Premissas'!$B$11,IF($A79=1,IF('Premissas'!$B$12="Sim",0,H79),O78+IF('Premissas'!$B$12="Sim",0,H79)),"")</x:f>
        <x:v>0</x:v>
      </x:c>
      <x:c r="P79" s="81" t="n">
        <x:f>IF($A79&lt;='Premissas'!$B$11,IF(M79=0,0,(L79+O79)/M79-1),"")</x:f>
        <x:v>0.5625922175959002</x:v>
      </x:c>
      <x:c r="Q79" s="84" t="str">
        <x:f>IF($A79&lt;='Premissas'!$B$11,"Ativo","Fora")</x:f>
        <x:v>Ativo</x:v>
      </x:c>
    </x:row>
    <x:row r="80">
      <x:c r="A80" s="66" t="n">
        <x:v>77</x:v>
      </x:c>
      <x:c r="B80" s="69" t="n">
        <x:f>IF($A80&lt;='Premissas'!$B$11,EDATE('Premissas'!$B$13,$A80-1),"")</x:f>
        <x:v>48580</x:v>
      </x:c>
      <x:c r="C80" s="72" t="n">
        <x:f>IF($A80&lt;='Premissas'!$B$11,'Premissas'!$B$8*(1+'Premissas'!$B$10)^($A80-1),"")</x:f>
        <x:v>116.39835330712256</x:v>
      </x:c>
      <x:c r="D80" s="75" t="n">
        <x:f>IF($A80&lt;='Premissas'!$B$11,IF($A80=1,'Premissas'!$B$6/'Premissas'!$B$8,K79),"")</x:f>
        <x:v>1156.8178822890136</x:v>
      </x:c>
      <x:c r="E80" s="78" t="n">
        <x:f>IF($A80&lt;='Premissas'!$B$11,'Premissas'!$B$7,"")</x:f>
        <x:v>1000</x:v>
      </x:c>
      <x:c r="F80" s="78" t="n">
        <x:f>IF($A80&lt;='Premissas'!$B$11,D80*C80*'Premissas'!$B$9,"")</x:f>
        <x:v>1077.2135725973915</x:v>
      </x:c>
      <x:c r="G80" s="78" t="n">
        <x:f>IF($A80&lt;='Premissas'!$B$11,D80*C80*'Premissas'!$B$14,"")</x:f>
        <x:v>0</x:v>
      </x:c>
      <x:c r="H80" s="78" t="n">
        <x:f>IF($A80&lt;='Premissas'!$B$11,MAX(F80-G80,0),"")</x:f>
        <x:v>1077.2135725973915</x:v>
      </x:c>
      <x:c r="I80" s="78" t="n">
        <x:f>IF($A80&lt;='Premissas'!$B$11,IF('Premissas'!$B$12="Sim",H80,0),"")</x:f>
        <x:v>1077.2135725973915</x:v>
      </x:c>
      <x:c r="J80" s="75" t="n">
        <x:f>IF($A80&lt;='Premissas'!$B$11,(E80+I80)/C80,"")</x:f>
        <x:v>17.845729888605597</x:v>
      </x:c>
      <x:c r="K80" s="75" t="n">
        <x:f>IF($A80&lt;='Premissas'!$B$11,D80+J80,"")</x:f>
        <x:v>1174.6636121776191</x:v>
      </x:c>
      <x:c r="L80" s="78" t="n">
        <x:f>IF($A80&lt;='Premissas'!$B$11,K80*C80,"")</x:f>
        <x:v>136728.91014727132</x:v>
      </x:c>
      <x:c r="M80" s="78" t="n">
        <x:f>IF($A80&lt;='Premissas'!$B$11,IF($A80=1,'Premissas'!$B$6+E80,M79+E80),"")</x:f>
        <x:v>87000</x:v>
      </x:c>
      <x:c r="N80" s="78" t="n">
        <x:f>IF($A80&lt;='Premissas'!$B$11,IF($A80=1,H80,N79+H80),"")</x:f>
        <x:v>39814.990389429615</x:v>
      </x:c>
      <x:c r="O80" s="78" t="n">
        <x:f>IF($A80&lt;='Premissas'!$B$11,IF($A80=1,IF('Premissas'!$B$12="Sim",0,H80),O79+IF('Premissas'!$B$12="Sim",0,H80)),"")</x:f>
        <x:v>0</x:v>
      </x:c>
      <x:c r="P80" s="81" t="n">
        <x:f>IF($A80&lt;='Premissas'!$B$11,IF(M80=0,0,(L80+O80)/M80-1),"")</x:f>
        <x:v>0.5715966683594405</x:v>
      </x:c>
      <x:c r="Q80" s="84" t="str">
        <x:f>IF($A80&lt;='Premissas'!$B$11,"Ativo","Fora")</x:f>
        <x:v>Ativo</x:v>
      </x:c>
    </x:row>
    <x:row r="81">
      <x:c r="A81" s="66" t="n">
        <x:v>78</x:v>
      </x:c>
      <x:c r="B81" s="69" t="n">
        <x:f>IF($A81&lt;='Premissas'!$B$11,EDATE('Premissas'!$B$13,$A81-1),"")</x:f>
        <x:v>48611</x:v>
      </x:c>
      <x:c r="C81" s="72" t="n">
        <x:f>IF($A81&lt;='Premissas'!$B$11,'Premissas'!$B$8*(1+'Premissas'!$B$10)^($A81-1),"")</x:f>
        <x:v>116.6311500137368</x:v>
      </x:c>
      <x:c r="D81" s="75" t="n">
        <x:f>IF($A81&lt;='Premissas'!$B$11,IF($A81=1,'Premissas'!$B$6/'Premissas'!$B$8,K80),"")</x:f>
        <x:v>1174.6636121776191</x:v>
      </x:c>
      <x:c r="E81" s="78" t="n">
        <x:f>IF($A81&lt;='Premissas'!$B$11,'Premissas'!$B$7,"")</x:f>
        <x:v>1000</x:v>
      </x:c>
      <x:c r="F81" s="78" t="n">
        <x:f>IF($A81&lt;='Premissas'!$B$11,D81*C81*'Premissas'!$B$9,"")</x:f>
        <x:v>1096.0189437405268</x:v>
      </x:c>
      <x:c r="G81" s="78" t="n">
        <x:f>IF($A81&lt;='Premissas'!$B$11,D81*C81*'Premissas'!$B$14,"")</x:f>
        <x:v>0</x:v>
      </x:c>
      <x:c r="H81" s="78" t="n">
        <x:f>IF($A81&lt;='Premissas'!$B$11,MAX(F81-G81,0),"")</x:f>
        <x:v>1096.0189437405268</x:v>
      </x:c>
      <x:c r="I81" s="78" t="n">
        <x:f>IF($A81&lt;='Premissas'!$B$11,IF('Premissas'!$B$12="Sim",H81,0),"")</x:f>
        <x:v>1096.0189437405268</x:v>
      </x:c>
      <x:c r="J81" s="75" t="n">
        <x:f>IF($A81&lt;='Premissas'!$B$11,(E81+I81)/C81,"")</x:f>
        <x:v>17.97134765020887</x:v>
      </x:c>
      <x:c r="K81" s="75" t="n">
        <x:f>IF($A81&lt;='Premissas'!$B$11,D81+J81,"")</x:f>
        <x:v>1192.634959827828</x:v>
      </x:c>
      <x:c r="L81" s="78" t="n">
        <x:f>IF($A81&lt;='Premissas'!$B$11,K81*C81,"")</x:f>
        <x:v>139098.38691130636</x:v>
      </x:c>
      <x:c r="M81" s="78" t="n">
        <x:f>IF($A81&lt;='Premissas'!$B$11,IF($A81=1,'Premissas'!$B$6+E81,M80+E81),"")</x:f>
        <x:v>88000</x:v>
      </x:c>
      <x:c r="N81" s="78" t="n">
        <x:f>IF($A81&lt;='Premissas'!$B$11,IF($A81=1,H81,N80+H81),"")</x:f>
        <x:v>40911.00933317014</x:v>
      </x:c>
      <x:c r="O81" s="78" t="n">
        <x:f>IF($A81&lt;='Premissas'!$B$11,IF($A81=1,IF('Premissas'!$B$12="Sim",0,H81),O80+IF('Premissas'!$B$12="Sim",0,H81)),"")</x:f>
        <x:v>0</x:v>
      </x:c>
      <x:c r="P81" s="81" t="n">
        <x:f>IF($A81&lt;='Premissas'!$B$11,IF(M81=0,0,(L81+O81)/M81-1),"")</x:f>
        <x:v>0.5806634876284813</x:v>
      </x:c>
      <x:c r="Q81" s="84" t="str">
        <x:f>IF($A81&lt;='Premissas'!$B$11,"Ativo","Fora")</x:f>
        <x:v>Ativo</x:v>
      </x:c>
    </x:row>
    <x:row r="82">
      <x:c r="A82" s="66" t="n">
        <x:v>79</x:v>
      </x:c>
      <x:c r="B82" s="69" t="n">
        <x:f>IF($A82&lt;='Premissas'!$B$11,EDATE('Premissas'!$B$13,$A82-1),"")</x:f>
        <x:v>48639</x:v>
      </x:c>
      <x:c r="C82" s="72" t="n">
        <x:f>IF($A82&lt;='Premissas'!$B$11,'Premissas'!$B$8*(1+'Premissas'!$B$10)^($A82-1),"")</x:f>
        <x:v>116.86441231376428</x:v>
      </x:c>
      <x:c r="D82" s="75" t="n">
        <x:f>IF($A82&lt;='Premissas'!$B$11,IF($A82=1,'Premissas'!$B$6/'Premissas'!$B$8,K81),"")</x:f>
        <x:v>1192.634959827828</x:v>
      </x:c>
      <x:c r="E82" s="78" t="n">
        <x:f>IF($A82&lt;='Premissas'!$B$11,'Premissas'!$B$7,"")</x:f>
        <x:v>1000</x:v>
      </x:c>
      <x:c r="F82" s="78" t="n">
        <x:f>IF($A82&lt;='Premissas'!$B$11,D82*C82*'Premissas'!$B$9,"")</x:f>
        <x:v>1115.012669481032</x:v>
      </x:c>
      <x:c r="G82" s="78" t="n">
        <x:f>IF($A82&lt;='Premissas'!$B$11,D82*C82*'Premissas'!$B$14,"")</x:f>
        <x:v>0</x:v>
      </x:c>
      <x:c r="H82" s="78" t="n">
        <x:f>IF($A82&lt;='Premissas'!$B$11,MAX(F82-G82,0),"")</x:f>
        <x:v>1115.012669481032</x:v>
      </x:c>
      <x:c r="I82" s="78" t="n">
        <x:f>IF($A82&lt;='Premissas'!$B$11,IF('Premissas'!$B$12="Sim",H82,0),"")</x:f>
        <x:v>1115.012669481032</x:v>
      </x:c>
      <x:c r="J82" s="75" t="n">
        <x:f>IF($A82&lt;='Premissas'!$B$11,(E82+I82)/C82,"")</x:f>
        <x:v>18.098004581604574</x:v>
      </x:c>
      <x:c r="K82" s="75" t="n">
        <x:f>IF($A82&lt;='Premissas'!$B$11,D82+J82,"")</x:f>
        <x:v>1210.7329644094325</x:v>
      </x:c>
      <x:c r="L82" s="78" t="n">
        <x:f>IF($A82&lt;='Premissas'!$B$11,K82*C82,"")</x:f>
        <x:v>141491.59635461</x:v>
      </x:c>
      <x:c r="M82" s="78" t="n">
        <x:f>IF($A82&lt;='Premissas'!$B$11,IF($A82=1,'Premissas'!$B$6+E82,M81+E82),"")</x:f>
        <x:v>89000</x:v>
      </x:c>
      <x:c r="N82" s="78" t="n">
        <x:f>IF($A82&lt;='Premissas'!$B$11,IF($A82=1,H82,N81+H82),"")</x:f>
        <x:v>42026.022002651174</x:v>
      </x:c>
      <x:c r="O82" s="78" t="n">
        <x:f>IF($A82&lt;='Premissas'!$B$11,IF($A82=1,IF('Premissas'!$B$12="Sim",0,H82),O81+IF('Premissas'!$B$12="Sim",0,H82)),"")</x:f>
        <x:v>0</x:v>
      </x:c>
      <x:c r="P82" s="81" t="n">
        <x:f>IF($A82&lt;='Premissas'!$B$11,IF(M82=0,0,(L82+O82)/M82-1),"")</x:f>
        <x:v>0.589793217467528</x:v>
      </x:c>
      <x:c r="Q82" s="84" t="str">
        <x:f>IF($A82&lt;='Premissas'!$B$11,"Ativo","Fora")</x:f>
        <x:v>Ativo</x:v>
      </x:c>
    </x:row>
    <x:row r="83">
      <x:c r="A83" s="66" t="n">
        <x:v>80</x:v>
      </x:c>
      <x:c r="B83" s="69" t="n">
        <x:f>IF($A83&lt;='Premissas'!$B$11,EDATE('Premissas'!$B$13,$A83-1),"")</x:f>
        <x:v>48670</x:v>
      </x:c>
      <x:c r="C83" s="72" t="n">
        <x:f>IF($A83&lt;='Premissas'!$B$11,'Premissas'!$B$8*(1+'Premissas'!$B$10)^($A83-1),"")</x:f>
        <x:v>117.09814113839181</x:v>
      </x:c>
      <x:c r="D83" s="75" t="n">
        <x:f>IF($A83&lt;='Premissas'!$B$11,IF($A83=1,'Premissas'!$B$6/'Premissas'!$B$8,K82),"")</x:f>
        <x:v>1210.7329644094325</x:v>
      </x:c>
      <x:c r="E83" s="78" t="n">
        <x:f>IF($A83&lt;='Premissas'!$B$11,'Premissas'!$B$7,"")</x:f>
        <x:v>1000</x:v>
      </x:c>
      <x:c r="F83" s="78" t="n">
        <x:f>IF($A83&lt;='Premissas'!$B$11,D83*C83*'Premissas'!$B$9,"")</x:f>
        <x:v>1134.1966363785539</x:v>
      </x:c>
      <x:c r="G83" s="78" t="n">
        <x:f>IF($A83&lt;='Premissas'!$B$11,D83*C83*'Premissas'!$B$14,"")</x:f>
        <x:v>0</x:v>
      </x:c>
      <x:c r="H83" s="78" t="n">
        <x:f>IF($A83&lt;='Premissas'!$B$11,MAX(F83-G83,0),"")</x:f>
        <x:v>1134.1966363785539</x:v>
      </x:c>
      <x:c r="I83" s="78" t="n">
        <x:f>IF($A83&lt;='Premissas'!$B$11,IF('Premissas'!$B$12="Sim",H83,0),"")</x:f>
        <x:v>1134.1966363785539</x:v>
      </x:c>
      <x:c r="J83" s="75" t="n">
        <x:f>IF($A83&lt;='Premissas'!$B$11,(E83+I83)/C83,"")</x:f>
        <x:v>18.225708927832297</x:v>
      </x:c>
      <x:c r="K83" s="75" t="n">
        <x:f>IF($A83&lt;='Premissas'!$B$11,D83+J83,"")</x:f>
        <x:v>1228.9586733372648</x:v>
      </x:c>
      <x:c r="L83" s="78" t="n">
        <x:f>IF($A83&lt;='Premissas'!$B$11,K83*C83,"")</x:f>
        <x:v>143908.7761836978</x:v>
      </x:c>
      <x:c r="M83" s="78" t="n">
        <x:f>IF($A83&lt;='Premissas'!$B$11,IF($A83=1,'Premissas'!$B$6+E83,M82+E83),"")</x:f>
        <x:v>90000</x:v>
      </x:c>
      <x:c r="N83" s="78" t="n">
        <x:f>IF($A83&lt;='Premissas'!$B$11,IF($A83=1,H83,N82+H83),"")</x:f>
        <x:v>43160.21863902973</x:v>
      </x:c>
      <x:c r="O83" s="78" t="n">
        <x:f>IF($A83&lt;='Premissas'!$B$11,IF($A83=1,IF('Premissas'!$B$12="Sim",0,H83),O82+IF('Premissas'!$B$12="Sim",0,H83)),"")</x:f>
        <x:v>0</x:v>
      </x:c>
      <x:c r="P83" s="81" t="n">
        <x:f>IF($A83&lt;='Premissas'!$B$11,IF(M83=0,0,(L83+O83)/M83-1),"")</x:f>
        <x:v>0.5989864020410867</x:v>
      </x:c>
      <x:c r="Q83" s="84" t="str">
        <x:f>IF($A83&lt;='Premissas'!$B$11,"Ativo","Fora")</x:f>
        <x:v>Ativo</x:v>
      </x:c>
    </x:row>
    <x:row r="84">
      <x:c r="A84" s="66" t="n">
        <x:v>81</x:v>
      </x:c>
      <x:c r="B84" s="69" t="n">
        <x:f>IF($A84&lt;='Premissas'!$B$11,EDATE('Premissas'!$B$13,$A84-1),"")</x:f>
        <x:v>48700</x:v>
      </x:c>
      <x:c r="C84" s="72" t="n">
        <x:f>IF($A84&lt;='Premissas'!$B$11,'Premissas'!$B$8*(1+'Premissas'!$B$10)^($A84-1),"")</x:f>
        <x:v>117.3323374206686</x:v>
      </x:c>
      <x:c r="D84" s="75" t="n">
        <x:f>IF($A84&lt;='Premissas'!$B$11,IF($A84=1,'Premissas'!$B$6/'Premissas'!$B$8,K83),"")</x:f>
        <x:v>1228.9586733372648</x:v>
      </x:c>
      <x:c r="E84" s="78" t="n">
        <x:f>IF($A84&lt;='Premissas'!$B$11,'Premissas'!$B$7,"")</x:f>
        <x:v>1000</x:v>
      </x:c>
      <x:c r="F84" s="78" t="n">
        <x:f>IF($A84&lt;='Premissas'!$B$11,D84*C84*'Premissas'!$B$9,"")</x:f>
        <x:v>1153.5727498885217</x:v>
      </x:c>
      <x:c r="G84" s="78" t="n">
        <x:f>IF($A84&lt;='Premissas'!$B$11,D84*C84*'Premissas'!$B$14,"")</x:f>
        <x:v>0</x:v>
      </x:c>
      <x:c r="H84" s="78" t="n">
        <x:f>IF($A84&lt;='Premissas'!$B$11,MAX(F84-G84,0),"")</x:f>
        <x:v>1153.5727498885217</x:v>
      </x:c>
      <x:c r="I84" s="78" t="n">
        <x:f>IF($A84&lt;='Premissas'!$B$11,IF('Premissas'!$B$12="Sim",H84,0),"")</x:f>
        <x:v>1153.5727498885217</x:v>
      </x:c>
      <x:c r="J84" s="75" t="n">
        <x:f>IF($A84&lt;='Premissas'!$B$11,(E84+I84)/C84,"")</x:f>
        <x:v>18.354469000028296</x:v>
      </x:c>
      <x:c r="K84" s="75" t="n">
        <x:f>IF($A84&lt;='Premissas'!$B$11,D84+J84,"")</x:f>
        <x:v>1247.3131423372931</x:v>
      </x:c>
      <x:c r="L84" s="78" t="n">
        <x:f>IF($A84&lt;='Premissas'!$B$11,K84*C84,"")</x:f>
        <x:v>146350.1664859537</x:v>
      </x:c>
      <x:c r="M84" s="78" t="n">
        <x:f>IF($A84&lt;='Premissas'!$B$11,IF($A84=1,'Premissas'!$B$6+E84,M83+E84),"")</x:f>
        <x:v>91000</x:v>
      </x:c>
      <x:c r="N84" s="78" t="n">
        <x:f>IF($A84&lt;='Premissas'!$B$11,IF($A84=1,H84,N83+H84),"")</x:f>
        <x:v>44313.79138891825</x:v>
      </x:c>
      <x:c r="O84" s="78" t="n">
        <x:f>IF($A84&lt;='Premissas'!$B$11,IF($A84=1,IF('Premissas'!$B$12="Sim",0,H84),O83+IF('Premissas'!$B$12="Sim",0,H84)),"")</x:f>
        <x:v>0</x:v>
      </x:c>
      <x:c r="P84" s="81" t="n">
        <x:f>IF($A84&lt;='Premissas'!$B$11,IF(M84=0,0,(L84+O84)/M84-1),"")</x:f>
        <x:v>0.608243587757733</x:v>
      </x:c>
      <x:c r="Q84" s="84" t="str">
        <x:f>IF($A84&lt;='Premissas'!$B$11,"Ativo","Fora")</x:f>
        <x:v>Ativo</x:v>
      </x:c>
    </x:row>
    <x:row r="85">
      <x:c r="A85" s="66" t="n">
        <x:v>82</x:v>
      </x:c>
      <x:c r="B85" s="69" t="n">
        <x:f>IF($A85&lt;='Premissas'!$B$11,EDATE('Premissas'!$B$13,$A85-1),"")</x:f>
        <x:v>48731</x:v>
      </x:c>
      <x:c r="C85" s="72" t="n">
        <x:f>IF($A85&lt;='Premissas'!$B$11,'Premissas'!$B$8*(1+'Premissas'!$B$10)^($A85-1),"")</x:f>
        <x:v>117.56700209550992</x:v>
      </x:c>
      <x:c r="D85" s="75" t="n">
        <x:f>IF($A85&lt;='Premissas'!$B$11,IF($A85=1,'Premissas'!$B$6/'Premissas'!$B$8,K84),"")</x:f>
        <x:v>1247.3131423372931</x:v>
      </x:c>
      <x:c r="E85" s="78" t="n">
        <x:f>IF($A85&lt;='Premissas'!$B$11,'Premissas'!$B$7,"")</x:f>
        <x:v>1000</x:v>
      </x:c>
      <x:c r="F85" s="78" t="n">
        <x:f>IF($A85&lt;='Premissas'!$B$11,D85*C85*'Premissas'!$B$9,"")</x:f>
        <x:v>1173.1429345514048</x:v>
      </x:c>
      <x:c r="G85" s="78" t="n">
        <x:f>IF($A85&lt;='Premissas'!$B$11,D85*C85*'Premissas'!$B$14,"")</x:f>
        <x:v>0</x:v>
      </x:c>
      <x:c r="H85" s="78" t="n">
        <x:f>IF($A85&lt;='Premissas'!$B$11,MAX(F85-G85,0),"")</x:f>
        <x:v>1173.1429345514048</x:v>
      </x:c>
      <x:c r="I85" s="78" t="n">
        <x:f>IF($A85&lt;='Premissas'!$B$11,IF('Premissas'!$B$12="Sim",H85,0),"")</x:f>
        <x:v>1173.1429345514048</x:v>
      </x:c>
      <x:c r="J85" s="75" t="n">
        <x:f>IF($A85&lt;='Premissas'!$B$11,(E85+I85)/C85,"")</x:f>
        <x:v>18.48429317595401</x:v>
      </x:c>
      <x:c r="K85" s="75" t="n">
        <x:f>IF($A85&lt;='Premissas'!$B$11,D85+J85,"")</x:f>
        <x:v>1265.7974355132471</x:v>
      </x:c>
      <x:c r="L85" s="78" t="n">
        <x:f>IF($A85&lt;='Premissas'!$B$11,K85*C85,"")</x:f>
        <x:v>148816.009753477</x:v>
      </x:c>
      <x:c r="M85" s="78" t="n">
        <x:f>IF($A85&lt;='Premissas'!$B$11,IF($A85=1,'Premissas'!$B$6+E85,M84+E85),"")</x:f>
        <x:v>92000</x:v>
      </x:c>
      <x:c r="N85" s="78" t="n">
        <x:f>IF($A85&lt;='Premissas'!$B$11,IF($A85=1,H85,N84+H85),"")</x:f>
        <x:v>45486.93432346966</x:v>
      </x:c>
      <x:c r="O85" s="78" t="n">
        <x:f>IF($A85&lt;='Premissas'!$B$11,IF($A85=1,IF('Premissas'!$B$12="Sim",0,H85),O84+IF('Premissas'!$B$12="Sim",0,H85)),"")</x:f>
        <x:v>0</x:v>
      </x:c>
      <x:c r="P85" s="81" t="n">
        <x:f>IF($A85&lt;='Premissas'!$B$11,IF(M85=0,0,(L85+O85)/M85-1),"")</x:f>
        <x:v>0.6175653234073588</x:v>
      </x:c>
      <x:c r="Q85" s="84" t="str">
        <x:f>IF($A85&lt;='Premissas'!$B$11,"Ativo","Fora")</x:f>
        <x:v>Ativo</x:v>
      </x:c>
    </x:row>
    <x:row r="86">
      <x:c r="A86" s="66" t="n">
        <x:v>83</x:v>
      </x:c>
      <x:c r="B86" s="69" t="n">
        <x:f>IF($A86&lt;='Premissas'!$B$11,EDATE('Premissas'!$B$13,$A86-1),"")</x:f>
        <x:v>48761</x:v>
      </x:c>
      <x:c r="C86" s="72" t="n">
        <x:f>IF($A86&lt;='Premissas'!$B$11,'Premissas'!$B$8*(1+'Premissas'!$B$10)^($A86-1),"")</x:f>
        <x:v>117.80213609970093</x:v>
      </x:c>
      <x:c r="D86" s="75" t="n">
        <x:f>IF($A86&lt;='Premissas'!$B$11,IF($A86=1,'Premissas'!$B$6/'Premissas'!$B$8,K85),"")</x:f>
        <x:v>1265.7974355132471</x:v>
      </x:c>
      <x:c r="E86" s="78" t="n">
        <x:f>IF($A86&lt;='Premissas'!$B$11,'Premissas'!$B$7,"")</x:f>
        <x:v>1000</x:v>
      </x:c>
      <x:c r="F86" s="78" t="n">
        <x:f>IF($A86&lt;='Premissas'!$B$11,D86*C86*'Premissas'!$B$9,"")</x:f>
        <x:v>1192.9091341838716</x:v>
      </x:c>
      <x:c r="G86" s="78" t="n">
        <x:f>IF($A86&lt;='Premissas'!$B$11,D86*C86*'Premissas'!$B$14,"")</x:f>
        <x:v>0</x:v>
      </x:c>
      <x:c r="H86" s="78" t="n">
        <x:f>IF($A86&lt;='Premissas'!$B$11,MAX(F86-G86,0),"")</x:f>
        <x:v>1192.9091341838716</x:v>
      </x:c>
      <x:c r="I86" s="78" t="n">
        <x:f>IF($A86&lt;='Premissas'!$B$11,IF('Premissas'!$B$12="Sim",H86,0),"")</x:f>
        <x:v>1192.9091341838716</x:v>
      </x:c>
      <x:c r="J86" s="75" t="n">
        <x:f>IF($A86&lt;='Premissas'!$B$11,(E86+I86)/C86,"")</x:f>
        <x:v>18.615189900528797</x:v>
      </x:c>
      <x:c r="K86" s="75" t="n">
        <x:f>IF($A86&lt;='Premissas'!$B$11,D86+J86,"")</x:f>
        <x:v>1284.412625413776</x:v>
      </x:c>
      <x:c r="L86" s="78" t="n">
        <x:f>IF($A86&lt;='Premissas'!$B$11,K86*C86,"")</x:f>
        <x:v>151306.5509071678</x:v>
      </x:c>
      <x:c r="M86" s="78" t="n">
        <x:f>IF($A86&lt;='Premissas'!$B$11,IF($A86=1,'Premissas'!$B$6+E86,M85+E86),"")</x:f>
        <x:v>93000</x:v>
      </x:c>
      <x:c r="N86" s="78" t="n">
        <x:f>IF($A86&lt;='Premissas'!$B$11,IF($A86=1,H86,N85+H86),"")</x:f>
        <x:v>46679.84345765353</x:v>
      </x:c>
      <x:c r="O86" s="78" t="n">
        <x:f>IF($A86&lt;='Premissas'!$B$11,IF($A86=1,IF('Premissas'!$B$12="Sim",0,H86),O85+IF('Premissas'!$B$12="Sim",0,H86)),"")</x:f>
        <x:v>0</x:v>
      </x:c>
      <x:c r="P86" s="81" t="n">
        <x:f>IF($A86&lt;='Premissas'!$B$11,IF(M86=0,0,(L86+O86)/M86-1),"")</x:f>
        <x:v>0.6269521602921271</x:v>
      </x:c>
      <x:c r="Q86" s="84" t="str">
        <x:f>IF($A86&lt;='Premissas'!$B$11,"Ativo","Fora")</x:f>
        <x:v>Ativo</x:v>
      </x:c>
    </x:row>
    <x:row r="87">
      <x:c r="A87" s="66" t="n">
        <x:v>84</x:v>
      </x:c>
      <x:c r="B87" s="69" t="n">
        <x:f>IF($A87&lt;='Premissas'!$B$11,EDATE('Premissas'!$B$13,$A87-1),"")</x:f>
        <x:v>48792</x:v>
      </x:c>
      <x:c r="C87" s="72" t="n">
        <x:f>IF($A87&lt;='Premissas'!$B$11,'Premissas'!$B$8*(1+'Premissas'!$B$10)^($A87-1),"")</x:f>
        <x:v>118.03774037190036</x:v>
      </x:c>
      <x:c r="D87" s="75" t="n">
        <x:f>IF($A87&lt;='Premissas'!$B$11,IF($A87=1,'Premissas'!$B$6/'Premissas'!$B$8,K86),"")</x:f>
        <x:v>1284.412625413776</x:v>
      </x:c>
      <x:c r="E87" s="78" t="n">
        <x:f>IF($A87&lt;='Premissas'!$B$11,'Premissas'!$B$7,"")</x:f>
        <x:v>1000</x:v>
      </x:c>
      <x:c r="F87" s="78" t="n">
        <x:f>IF($A87&lt;='Premissas'!$B$11,D87*C87*'Premissas'!$B$9,"")</x:f>
        <x:v>1212.8733120718575</x:v>
      </x:c>
      <x:c r="G87" s="78" t="n">
        <x:f>IF($A87&lt;='Premissas'!$B$11,D87*C87*'Premissas'!$B$14,"")</x:f>
        <x:v>0</x:v>
      </x:c>
      <x:c r="H87" s="78" t="n">
        <x:f>IF($A87&lt;='Premissas'!$B$11,MAX(F87-G87,0),"")</x:f>
        <x:v>1212.8733120718575</x:v>
      </x:c>
      <x:c r="I87" s="78" t="n">
        <x:f>IF($A87&lt;='Premissas'!$B$11,IF('Premissas'!$B$12="Sim",H87,0),"")</x:f>
        <x:v>1212.8733120718575</x:v>
      </x:c>
      <x:c r="J87" s="75" t="n">
        <x:f>IF($A87&lt;='Premissas'!$B$11,(E87+I87)/C87,"")</x:f>
        <x:v>18.747167686366915</x:v>
      </x:c>
      <x:c r="K87" s="75" t="n">
        <x:f>IF($A87&lt;='Premissas'!$B$11,D87+J87,"")</x:f>
        <x:v>1303.159793100143</x:v>
      </x:c>
      <x:c r="L87" s="78" t="n">
        <x:f>IF($A87&lt;='Premissas'!$B$11,K87*C87,"")</x:f>
        <x:v>153822.03732105406</x:v>
      </x:c>
      <x:c r="M87" s="78" t="n">
        <x:f>IF($A87&lt;='Premissas'!$B$11,IF($A87=1,'Premissas'!$B$6+E87,M86+E87),"")</x:f>
        <x:v>94000</x:v>
      </x:c>
      <x:c r="N87" s="78" t="n">
        <x:f>IF($A87&lt;='Premissas'!$B$11,IF($A87=1,H87,N86+H87),"")</x:f>
        <x:v>47892.71676972539</x:v>
      </x:c>
      <x:c r="O87" s="78" t="n">
        <x:f>IF($A87&lt;='Premissas'!$B$11,IF($A87=1,IF('Premissas'!$B$12="Sim",0,H87),O86+IF('Premissas'!$B$12="Sim",0,H87)),"")</x:f>
        <x:v>0</x:v>
      </x:c>
      <x:c r="P87" s="81" t="n">
        <x:f>IF($A87&lt;='Premissas'!$B$11,IF(M87=0,0,(L87+O87)/M87-1),"")</x:f>
        <x:v>0.6364046523516389</x:v>
      </x:c>
      <x:c r="Q87" s="84" t="str">
        <x:f>IF($A87&lt;='Premissas'!$B$11,"Ativo","Fora")</x:f>
        <x:v>Ativo</x:v>
      </x:c>
    </x:row>
    <x:row r="88">
      <x:c r="A88" s="66" t="n">
        <x:v>85</x:v>
      </x:c>
      <x:c r="B88" s="69" t="n">
        <x:f>IF($A88&lt;='Premissas'!$B$11,EDATE('Premissas'!$B$13,$A88-1),"")</x:f>
        <x:v>48823</x:v>
      </x:c>
      <x:c r="C88" s="72" t="n">
        <x:f>IF($A88&lt;='Premissas'!$B$11,'Premissas'!$B$8*(1+'Premissas'!$B$10)^($A88-1),"")</x:f>
        <x:v>118.27381585264416</x:v>
      </x:c>
      <x:c r="D88" s="75" t="n">
        <x:f>IF($A88&lt;='Premissas'!$B$11,IF($A88=1,'Premissas'!$B$6/'Premissas'!$B$8,K87),"")</x:f>
        <x:v>1303.159793100143</x:v>
      </x:c>
      <x:c r="E88" s="78" t="n">
        <x:f>IF($A88&lt;='Premissas'!$B$11,'Premissas'!$B$7,"")</x:f>
        <x:v>1000</x:v>
      </x:c>
      <x:c r="F88" s="78" t="n">
        <x:f>IF($A88&lt;='Premissas'!$B$11,D88*C88*'Premissas'!$B$9,"")</x:f>
        <x:v>1233.0374511655693</x:v>
      </x:c>
      <x:c r="G88" s="78" t="n">
        <x:f>IF($A88&lt;='Premissas'!$B$11,D88*C88*'Premissas'!$B$14,"")</x:f>
        <x:v>0</x:v>
      </x:c>
      <x:c r="H88" s="78" t="n">
        <x:f>IF($A88&lt;='Premissas'!$B$11,MAX(F88-G88,0),"")</x:f>
        <x:v>1233.0374511655693</x:v>
      </x:c>
      <x:c r="I88" s="78" t="n">
        <x:f>IF($A88&lt;='Premissas'!$B$11,IF('Premissas'!$B$12="Sim",H88,0),"")</x:f>
        <x:v>1233.0374511655693</x:v>
      </x:c>
      <x:c r="J88" s="75" t="n">
        <x:f>IF($A88&lt;='Premissas'!$B$11,(E88+I88)/C88,"")</x:f>
        <x:v>18.88023511431881</x:v>
      </x:c>
      <x:c r="K88" s="75" t="n">
        <x:f>IF($A88&lt;='Premissas'!$B$11,D88+J88,"")</x:f>
        <x:v>1322.0400282144617</x:v>
      </x:c>
      <x:c r="L88" s="78" t="n">
        <x:f>IF($A88&lt;='Premissas'!$B$11,K88*C88,"")</x:f>
        <x:v>156362.71884686174</x:v>
      </x:c>
      <x:c r="M88" s="78" t="n">
        <x:f>IF($A88&lt;='Premissas'!$B$11,IF($A88=1,'Premissas'!$B$6+E88,M87+E88),"")</x:f>
        <x:v>95000</x:v>
      </x:c>
      <x:c r="N88" s="78" t="n">
        <x:f>IF($A88&lt;='Premissas'!$B$11,IF($A88=1,H88,N87+H88),"")</x:f>
        <x:v>49125.75422089096</x:v>
      </x:c>
      <x:c r="O88" s="78" t="n">
        <x:f>IF($A88&lt;='Premissas'!$B$11,IF($A88=1,IF('Premissas'!$B$12="Sim",0,H88),O87+IF('Premissas'!$B$12="Sim",0,H88)),"")</x:f>
        <x:v>0</x:v>
      </x:c>
      <x:c r="P88" s="81" t="n">
        <x:f>IF($A88&lt;='Premissas'!$B$11,IF(M88=0,0,(L88+O88)/M88-1),"")</x:f>
        <x:v>0.6459233562827551</x:v>
      </x:c>
      <x:c r="Q88" s="84" t="str">
        <x:f>IF($A88&lt;='Premissas'!$B$11,"Ativo","Fora")</x:f>
        <x:v>Ativo</x:v>
      </x:c>
    </x:row>
    <x:row r="89">
      <x:c r="A89" s="66" t="n">
        <x:v>86</x:v>
      </x:c>
      <x:c r="B89" s="69" t="n">
        <x:f>IF($A89&lt;='Premissas'!$B$11,EDATE('Premissas'!$B$13,$A89-1),"")</x:f>
        <x:v>48853</x:v>
      </x:c>
      <x:c r="C89" s="72" t="n">
        <x:f>IF($A89&lt;='Premissas'!$B$11,'Premissas'!$B$8*(1+'Premissas'!$B$10)^($A89-1),"")</x:f>
        <x:v>118.51036348434944</x:v>
      </x:c>
      <x:c r="D89" s="75" t="n">
        <x:f>IF($A89&lt;='Premissas'!$B$11,IF($A89=1,'Premissas'!$B$6/'Premissas'!$B$8,K88),"")</x:f>
        <x:v>1322.0400282144617</x:v>
      </x:c>
      <x:c r="E89" s="78" t="n">
        <x:f>IF($A89&lt;='Premissas'!$B$11,'Premissas'!$B$7,"")</x:f>
        <x:v>1000</x:v>
      </x:c>
      <x:c r="F89" s="78" t="n">
        <x:f>IF($A89&lt;='Premissas'!$B$11,D89*C89*'Premissas'!$B$9,"")</x:f>
        <x:v>1253.4035542764436</x:v>
      </x:c>
      <x:c r="G89" s="78" t="n">
        <x:f>IF($A89&lt;='Premissas'!$B$11,D89*C89*'Premissas'!$B$14,"")</x:f>
        <x:v>0</x:v>
      </x:c>
      <x:c r="H89" s="78" t="n">
        <x:f>IF($A89&lt;='Premissas'!$B$11,MAX(F89-G89,0),"")</x:f>
        <x:v>1253.4035542764436</x:v>
      </x:c>
      <x:c r="I89" s="78" t="n">
        <x:f>IF($A89&lt;='Premissas'!$B$11,IF('Premissas'!$B$12="Sim",H89,0),"")</x:f>
        <x:v>1253.4035542764436</x:v>
      </x:c>
      <x:c r="J89" s="75" t="n">
        <x:f>IF($A89&lt;='Premissas'!$B$11,(E89+I89)/C89,"")</x:f>
        <x:v>19.01440083401676</x:v>
      </x:c>
      <x:c r="K89" s="75" t="n">
        <x:f>IF($A89&lt;='Premissas'!$B$11,D89+J89,"")</x:f>
        <x:v>1341.0544290484784</x:v>
      </x:c>
      <x:c r="L89" s="78" t="n">
        <x:f>IF($A89&lt;='Premissas'!$B$11,K89*C89,"")</x:f>
        <x:v>158928.8478388319</x:v>
      </x:c>
      <x:c r="M89" s="78" t="n">
        <x:f>IF($A89&lt;='Premissas'!$B$11,IF($A89=1,'Premissas'!$B$6+E89,M88+E89),"")</x:f>
        <x:v>96000</x:v>
      </x:c>
      <x:c r="N89" s="78" t="n">
        <x:f>IF($A89&lt;='Premissas'!$B$11,IF($A89=1,H89,N88+H89),"")</x:f>
        <x:v>50379.157775167405</x:v>
      </x:c>
      <x:c r="O89" s="78" t="n">
        <x:f>IF($A89&lt;='Premissas'!$B$11,IF($A89=1,IF('Premissas'!$B$12="Sim",0,H89),O88+IF('Premissas'!$B$12="Sim",0,H89)),"")</x:f>
        <x:v>0</x:v>
      </x:c>
      <x:c r="P89" s="81" t="n">
        <x:f>IF($A89&lt;='Premissas'!$B$11,IF(M89=0,0,(L89+O89)/M89-1),"")</x:f>
        <x:v>0.6555088316544988</x:v>
      </x:c>
      <x:c r="Q89" s="84" t="str">
        <x:f>IF($A89&lt;='Premissas'!$B$11,"Ativo","Fora")</x:f>
        <x:v>Ativo</x:v>
      </x:c>
    </x:row>
    <x:row r="90">
      <x:c r="A90" s="66" t="n">
        <x:v>87</x:v>
      </x:c>
      <x:c r="B90" s="69" t="n">
        <x:f>IF($A90&lt;='Premissas'!$B$11,EDATE('Premissas'!$B$13,$A90-1),"")</x:f>
        <x:v>48884</x:v>
      </x:c>
      <x:c r="C90" s="72" t="n">
        <x:f>IF($A90&lt;='Premissas'!$B$11,'Premissas'!$B$8*(1+'Premissas'!$B$10)^($A90-1),"")</x:f>
        <x:v>118.74738421131813</x:v>
      </x:c>
      <x:c r="D90" s="75" t="n">
        <x:f>IF($A90&lt;='Premissas'!$B$11,IF($A90=1,'Premissas'!$B$6/'Premissas'!$B$8,K89),"")</x:f>
        <x:v>1341.0544290484784</x:v>
      </x:c>
      <x:c r="E90" s="78" t="n">
        <x:f>IF($A90&lt;='Premissas'!$B$11,'Premissas'!$B$7,"")</x:f>
        <x:v>1000</x:v>
      </x:c>
      <x:c r="F90" s="78" t="n">
        <x:f>IF($A90&lt;='Premissas'!$B$11,D90*C90*'Premissas'!$B$9,"")</x:f>
        <x:v>1273.9736442760764</x:v>
      </x:c>
      <x:c r="G90" s="78" t="n">
        <x:f>IF($A90&lt;='Premissas'!$B$11,D90*C90*'Premissas'!$B$14,"")</x:f>
        <x:v>0</x:v>
      </x:c>
      <x:c r="H90" s="78" t="n">
        <x:f>IF($A90&lt;='Premissas'!$B$11,MAX(F90-G90,0),"")</x:f>
        <x:v>1273.9736442760764</x:v>
      </x:c>
      <x:c r="I90" s="78" t="n">
        <x:f>IF($A90&lt;='Premissas'!$B$11,IF('Premissas'!$B$12="Sim",H90,0),"")</x:f>
        <x:v>1273.9736442760764</x:v>
      </x:c>
      <x:c r="J90" s="75" t="n">
        <x:f>IF($A90&lt;='Premissas'!$B$11,(E90+I90)/C90,"")</x:f>
        <x:v>19.149673564424823</x:v>
      </x:c>
      <x:c r="K90" s="75" t="n">
        <x:f>IF($A90&lt;='Premissas'!$B$11,D90+J90,"")</x:f>
        <x:v>1360.2041026129032</x:v>
      </x:c>
      <x:c r="L90" s="78" t="n">
        <x:f>IF($A90&lt;='Premissas'!$B$11,K90*C90,"")</x:f>
        <x:v>161520.67917878562</x:v>
      </x:c>
      <x:c r="M90" s="78" t="n">
        <x:f>IF($A90&lt;='Premissas'!$B$11,IF($A90=1,'Premissas'!$B$6+E90,M89+E90),"")</x:f>
        <x:v>97000</x:v>
      </x:c>
      <x:c r="N90" s="78" t="n">
        <x:f>IF($A90&lt;='Premissas'!$B$11,IF($A90=1,H90,N89+H90),"")</x:f>
        <x:v>51653.13141944348</x:v>
      </x:c>
      <x:c r="O90" s="78" t="n">
        <x:f>IF($A90&lt;='Premissas'!$B$11,IF($A90=1,IF('Premissas'!$B$12="Sim",0,H90),O89+IF('Premissas'!$B$12="Sim",0,H90)),"")</x:f>
        <x:v>0</x:v>
      </x:c>
      <x:c r="P90" s="81" t="n">
        <x:f>IF($A90&lt;='Premissas'!$B$11,IF(M90=0,0,(L90+O90)/M90-1),"")</x:f>
        <x:v>0.6651616410184085</x:v>
      </x:c>
      <x:c r="Q90" s="84" t="str">
        <x:f>IF($A90&lt;='Premissas'!$B$11,"Ativo","Fora")</x:f>
        <x:v>Ativo</x:v>
      </x:c>
    </x:row>
    <x:row r="91">
      <x:c r="A91" s="66" t="n">
        <x:v>88</x:v>
      </x:c>
      <x:c r="B91" s="69" t="n">
        <x:f>IF($A91&lt;='Premissas'!$B$11,EDATE('Premissas'!$B$13,$A91-1),"")</x:f>
        <x:v>48914</x:v>
      </x:c>
      <x:c r="C91" s="72" t="n">
        <x:f>IF($A91&lt;='Premissas'!$B$11,'Premissas'!$B$8*(1+'Premissas'!$B$10)^($A91-1),"")</x:f>
        <x:v>118.98487897974077</x:v>
      </x:c>
      <x:c r="D91" s="75" t="n">
        <x:f>IF($A91&lt;='Premissas'!$B$11,IF($A91=1,'Premissas'!$B$6/'Premissas'!$B$8,K90),"")</x:f>
        <x:v>1360.2041026129032</x:v>
      </x:c>
      <x:c r="E91" s="78" t="n">
        <x:f>IF($A91&lt;='Premissas'!$B$11,'Premissas'!$B$7,"")</x:f>
        <x:v>1000</x:v>
      </x:c>
      <x:c r="F91" s="78" t="n">
        <x:f>IF($A91&lt;='Premissas'!$B$11,D91*C91*'Premissas'!$B$9,"")</x:f>
        <x:v>1294.7497642971455</x:v>
      </x:c>
      <x:c r="G91" s="78" t="n">
        <x:f>IF($A91&lt;='Premissas'!$B$11,D91*C91*'Premissas'!$B$14,"")</x:f>
        <x:v>0</x:v>
      </x:c>
      <x:c r="H91" s="78" t="n">
        <x:f>IF($A91&lt;='Premissas'!$B$11,MAX(F91-G91,0),"")</x:f>
        <x:v>1294.7497642971455</x:v>
      </x:c>
      <x:c r="I91" s="78" t="n">
        <x:f>IF($A91&lt;='Premissas'!$B$11,IF('Premissas'!$B$12="Sim",H91,0),"")</x:f>
        <x:v>1294.7497642971455</x:v>
      </x:c>
      <x:c r="J91" s="75" t="n">
        <x:f>IF($A91&lt;='Premissas'!$B$11,(E91+I91)/C91,"")</x:f>
        <x:v>19.28606209439324</x:v>
      </x:c>
      <x:c r="K91" s="75" t="n">
        <x:f>IF($A91&lt;='Premissas'!$B$11,D91+J91,"")</x:f>
        <x:v>1379.4901647072963</x:v>
      </x:c>
      <x:c r="L91" s="78" t="n">
        <x:f>IF($A91&lt;='Premissas'!$B$11,K91*C91,"")</x:f>
        <x:v>164138.4703014403</x:v>
      </x:c>
      <x:c r="M91" s="78" t="n">
        <x:f>IF($A91&lt;='Premissas'!$B$11,IF($A91=1,'Premissas'!$B$6+E91,M90+E91),"")</x:f>
        <x:v>98000</x:v>
      </x:c>
      <x:c r="N91" s="78" t="n">
        <x:f>IF($A91&lt;='Premissas'!$B$11,IF($A91=1,H91,N90+H91),"")</x:f>
        <x:v>52947.881183740625</x:v>
      </x:c>
      <x:c r="O91" s="78" t="n">
        <x:f>IF($A91&lt;='Premissas'!$B$11,IF($A91=1,IF('Premissas'!$B$12="Sim",0,H91),O90+IF('Premissas'!$B$12="Sim",0,H91)),"")</x:f>
        <x:v>0</x:v>
      </x:c>
      <x:c r="P91" s="81" t="n">
        <x:f>IF($A91&lt;='Premissas'!$B$11,IF(M91=0,0,(L91+O91)/M91-1),"")</x:f>
        <x:v>0.674882350014697</x:v>
      </x:c>
      <x:c r="Q91" s="84" t="str">
        <x:f>IF($A91&lt;='Premissas'!$B$11,"Ativo","Fora")</x:f>
        <x:v>Ativo</x:v>
      </x:c>
    </x:row>
    <x:row r="92">
      <x:c r="A92" s="66" t="n">
        <x:v>89</x:v>
      </x:c>
      <x:c r="B92" s="69" t="n">
        <x:f>IF($A92&lt;='Premissas'!$B$11,EDATE('Premissas'!$B$13,$A92-1),"")</x:f>
        <x:v>48945</x:v>
      </x:c>
      <x:c r="C92" s="72" t="n">
        <x:f>IF($A92&lt;='Premissas'!$B$11,'Premissas'!$B$8*(1+'Premissas'!$B$10)^($A92-1),"")</x:f>
        <x:v>119.22284873770026</x:v>
      </x:c>
      <x:c r="D92" s="75" t="n">
        <x:f>IF($A92&lt;='Premissas'!$B$11,IF($A92=1,'Premissas'!$B$6/'Premissas'!$B$8,K91),"")</x:f>
        <x:v>1379.4901647072963</x:v>
      </x:c>
      <x:c r="E92" s="78" t="n">
        <x:f>IF($A92&lt;='Premissas'!$B$11,'Premissas'!$B$7,"")</x:f>
        <x:v>1000</x:v>
      </x:c>
      <x:c r="F92" s="78" t="n">
        <x:f>IF($A92&lt;='Premissas'!$B$11,D92*C92*'Premissas'!$B$9,"")</x:f>
        <x:v>1315.7339779363456</x:v>
      </x:c>
      <x:c r="G92" s="78" t="n">
        <x:f>IF($A92&lt;='Premissas'!$B$11,D92*C92*'Premissas'!$B$14,"")</x:f>
        <x:v>0</x:v>
      </x:c>
      <x:c r="H92" s="78" t="n">
        <x:f>IF($A92&lt;='Premissas'!$B$11,MAX(F92-G92,0),"")</x:f>
        <x:v>1315.7339779363456</x:v>
      </x:c>
      <x:c r="I92" s="78" t="n">
        <x:f>IF($A92&lt;='Premissas'!$B$11,IF('Premissas'!$B$12="Sim",H92,0),"")</x:f>
        <x:v>1315.7339779363456</x:v>
      </x:c>
      <x:c r="J92" s="75" t="n">
        <x:f>IF($A92&lt;='Premissas'!$B$11,(E92+I92)/C92,"")</x:f>
        <x:v>19.423575283217264</x:v>
      </x:c>
      <x:c r="K92" s="75" t="n">
        <x:f>IF($A92&lt;='Premissas'!$B$11,D92+J92,"")</x:f>
        <x:v>1398.9137399905137</x:v>
      </x:c>
      <x:c r="L92" s="78" t="n">
        <x:f>IF($A92&lt;='Premissas'!$B$11,K92*C92,"")</x:f>
        <x:v>166782.48121997956</x:v>
      </x:c>
      <x:c r="M92" s="78" t="n">
        <x:f>IF($A92&lt;='Premissas'!$B$11,IF($A92=1,'Premissas'!$B$6+E92,M91+E92),"")</x:f>
        <x:v>99000</x:v>
      </x:c>
      <x:c r="N92" s="78" t="n">
        <x:f>IF($A92&lt;='Premissas'!$B$11,IF($A92=1,H92,N91+H92),"")</x:f>
        <x:v>54263.61516167697</x:v>
      </x:c>
      <x:c r="O92" s="78" t="n">
        <x:f>IF($A92&lt;='Premissas'!$B$11,IF($A92=1,IF('Premissas'!$B$12="Sim",0,H92),O91+IF('Premissas'!$B$12="Sim",0,H92)),"")</x:f>
        <x:v>0</x:v>
      </x:c>
      <x:c r="P92" s="81" t="n">
        <x:f>IF($A92&lt;='Premissas'!$B$11,IF(M92=0,0,(L92+O92)/M92-1),"")</x:f>
        <x:v>0.684671527474541</x:v>
      </x:c>
      <x:c r="Q92" s="84" t="str">
        <x:f>IF($A92&lt;='Premissas'!$B$11,"Ativo","Fora")</x:f>
        <x:v>Ativo</x:v>
      </x:c>
    </x:row>
    <x:row r="93">
      <x:c r="A93" s="66" t="n">
        <x:v>90</x:v>
      </x:c>
      <x:c r="B93" s="69" t="n">
        <x:f>IF($A93&lt;='Premissas'!$B$11,EDATE('Premissas'!$B$13,$A93-1),"")</x:f>
        <x:v>48976</x:v>
      </x:c>
      <x:c r="C93" s="72" t="n">
        <x:f>IF($A93&lt;='Premissas'!$B$11,'Premissas'!$B$8*(1+'Premissas'!$B$10)^($A93-1),"")</x:f>
        <x:v>119.46129443517566</x:v>
      </x:c>
      <x:c r="D93" s="75" t="n">
        <x:f>IF($A93&lt;='Premissas'!$B$11,IF($A93=1,'Premissas'!$B$6/'Premissas'!$B$8,K92),"")</x:f>
        <x:v>1398.9137399905137</x:v>
      </x:c>
      <x:c r="E93" s="78" t="n">
        <x:f>IF($A93&lt;='Premissas'!$B$11,'Premissas'!$B$7,"")</x:f>
        <x:v>1000</x:v>
      </x:c>
      <x:c r="F93" s="78" t="n">
        <x:f>IF($A93&lt;='Premissas'!$B$11,D93*C93*'Premissas'!$B$9,"")</x:f>
        <x:v>1336.9283694593562</x:v>
      </x:c>
      <x:c r="G93" s="78" t="n">
        <x:f>IF($A93&lt;='Premissas'!$B$11,D93*C93*'Premissas'!$B$14,"")</x:f>
        <x:v>0</x:v>
      </x:c>
      <x:c r="H93" s="78" t="n">
        <x:f>IF($A93&lt;='Premissas'!$B$11,MAX(F93-G93,0),"")</x:f>
        <x:v>1336.9283694593562</x:v>
      </x:c>
      <x:c r="I93" s="78" t="n">
        <x:f>IF($A93&lt;='Premissas'!$B$11,IF('Premissas'!$B$12="Sim",H93,0),"")</x:f>
        <x:v>1336.9283694593562</x:v>
      </x:c>
      <x:c r="J93" s="75" t="n">
        <x:f>IF($A93&lt;='Premissas'!$B$11,(E93+I93)/C93,"")</x:f>
        <x:v>19.56222206120045</x:v>
      </x:c>
      <x:c r="K93" s="75" t="n">
        <x:f>IF($A93&lt;='Premissas'!$B$11,D93+J93,"")</x:f>
        <x:v>1418.475962051714</x:v>
      </x:c>
      <x:c r="L93" s="78" t="n">
        <x:f>IF($A93&lt;='Premissas'!$B$11,K93*C93,"")</x:f>
        <x:v>169452.97455187887</x:v>
      </x:c>
      <x:c r="M93" s="78" t="n">
        <x:f>IF($A93&lt;='Premissas'!$B$11,IF($A93=1,'Premissas'!$B$6+E93,M92+E93),"")</x:f>
        <x:v>100000</x:v>
      </x:c>
      <x:c r="N93" s="78" t="n">
        <x:f>IF($A93&lt;='Premissas'!$B$11,IF($A93=1,H93,N92+H93),"")</x:f>
        <x:v>55600.543531136325</x:v>
      </x:c>
      <x:c r="O93" s="78" t="n">
        <x:f>IF($A93&lt;='Premissas'!$B$11,IF($A93=1,IF('Premissas'!$B$12="Sim",0,H93),O92+IF('Premissas'!$B$12="Sim",0,H93)),"")</x:f>
        <x:v>0</x:v>
      </x:c>
      <x:c r="P93" s="81" t="n">
        <x:f>IF($A93&lt;='Premissas'!$B$11,IF(M93=0,0,(L93+O93)/M93-1),"")</x:f>
        <x:v>0.6945297455187887</x:v>
      </x:c>
      <x:c r="Q93" s="84" t="str">
        <x:f>IF($A93&lt;='Premissas'!$B$11,"Ativo","Fora")</x:f>
        <x:v>Ativo</x:v>
      </x:c>
    </x:row>
    <x:row r="94">
      <x:c r="A94" s="66" t="n">
        <x:v>91</x:v>
      </x:c>
      <x:c r="B94" s="69" t="n">
        <x:f>IF($A94&lt;='Premissas'!$B$11,EDATE('Premissas'!$B$13,$A94-1),"")</x:f>
        <x:v>49004</x:v>
      </x:c>
      <x:c r="C94" s="72" t="n">
        <x:f>IF($A94&lt;='Premissas'!$B$11,'Premissas'!$B$8*(1+'Premissas'!$B$10)^($A94-1),"")</x:f>
        <x:v>119.70021702404601</x:v>
      </x:c>
      <x:c r="D94" s="75" t="n">
        <x:f>IF($A94&lt;='Premissas'!$B$11,IF($A94=1,'Premissas'!$B$6/'Premissas'!$B$8,K93),"")</x:f>
        <x:v>1418.475962051714</x:v>
      </x:c>
      <x:c r="E94" s="78" t="n">
        <x:f>IF($A94&lt;='Premissas'!$B$11,'Premissas'!$B$7,"")</x:f>
        <x:v>1000</x:v>
      </x:c>
      <x:c r="F94" s="78" t="n">
        <x:f>IF($A94&lt;='Premissas'!$B$11,D94*C94*'Premissas'!$B$9,"")</x:f>
        <x:v>1358.3350440078611</x:v>
      </x:c>
      <x:c r="G94" s="78" t="n">
        <x:f>IF($A94&lt;='Premissas'!$B$11,D94*C94*'Premissas'!$B$14,"")</x:f>
        <x:v>0</x:v>
      </x:c>
      <x:c r="H94" s="78" t="n">
        <x:f>IF($A94&lt;='Premissas'!$B$11,MAX(F94-G94,0),"")</x:f>
        <x:v>1358.3350440078611</x:v>
      </x:c>
      <x:c r="I94" s="78" t="n">
        <x:f>IF($A94&lt;='Premissas'!$B$11,IF('Premissas'!$B$12="Sim",H94,0),"")</x:f>
        <x:v>1358.3350440078611</x:v>
      </x:c>
      <x:c r="J94" s="75" t="n">
        <x:f>IF($A94&lt;='Premissas'!$B$11,(E94+I94)/C94,"")</x:f>
        <x:v>19.702011430222438</x:v>
      </x:c>
      <x:c r="K94" s="75" t="n">
        <x:f>IF($A94&lt;='Premissas'!$B$11,D94+J94,"")</x:f>
        <x:v>1438.1779734819365</x:v>
      </x:c>
      <x:c r="L94" s="78" t="n">
        <x:f>IF($A94&lt;='Premissas'!$B$11,K94*C94,"")</x:f>
        <x:v>172150.2155449905</x:v>
      </x:c>
      <x:c r="M94" s="78" t="n">
        <x:f>IF($A94&lt;='Premissas'!$B$11,IF($A94=1,'Premissas'!$B$6+E94,M93+E94),"")</x:f>
        <x:v>101000</x:v>
      </x:c>
      <x:c r="N94" s="78" t="n">
        <x:f>IF($A94&lt;='Premissas'!$B$11,IF($A94=1,H94,N93+H94),"")</x:f>
        <x:v>56958.87857514419</x:v>
      </x:c>
      <x:c r="O94" s="78" t="n">
        <x:f>IF($A94&lt;='Premissas'!$B$11,IF($A94=1,IF('Premissas'!$B$12="Sim",0,H94),O93+IF('Premissas'!$B$12="Sim",0,H94)),"")</x:f>
        <x:v>0</x:v>
      </x:c>
      <x:c r="P94" s="81" t="n">
        <x:f>IF($A94&lt;='Premissas'!$B$11,IF(M94=0,0,(L94+O94)/M94-1),"")</x:f>
        <x:v>0.7044575796533712</x:v>
      </x:c>
      <x:c r="Q94" s="84" t="str">
        <x:f>IF($A94&lt;='Premissas'!$B$11,"Ativo","Fora")</x:f>
        <x:v>Ativo</x:v>
      </x:c>
    </x:row>
    <x:row r="95">
      <x:c r="A95" s="66" t="n">
        <x:v>92</x:v>
      </x:c>
      <x:c r="B95" s="69" t="n">
        <x:f>IF($A95&lt;='Premissas'!$B$11,EDATE('Premissas'!$B$13,$A95-1),"")</x:f>
        <x:v>49035</x:v>
      </x:c>
      <x:c r="C95" s="72" t="n">
        <x:f>IF($A95&lt;='Premissas'!$B$11,'Premissas'!$B$8*(1+'Premissas'!$B$10)^($A95-1),"")</x:f>
        <x:v>119.93961745809409</x:v>
      </x:c>
      <x:c r="D95" s="75" t="n">
        <x:f>IF($A95&lt;='Premissas'!$B$11,IF($A95=1,'Premissas'!$B$6/'Premissas'!$B$8,K94),"")</x:f>
        <x:v>1438.1779734819365</x:v>
      </x:c>
      <x:c r="E95" s="78" t="n">
        <x:f>IF($A95&lt;='Premissas'!$B$11,'Premissas'!$B$7,"")</x:f>
        <x:v>1000</x:v>
      </x:c>
      <x:c r="F95" s="78" t="n">
        <x:f>IF($A95&lt;='Premissas'!$B$11,D95*C95*'Premissas'!$B$9,"")</x:f>
        <x:v>1379.9561278086437</x:v>
      </x:c>
      <x:c r="G95" s="78" t="n">
        <x:f>IF($A95&lt;='Premissas'!$B$11,D95*C95*'Premissas'!$B$14,"")</x:f>
        <x:v>0</x:v>
      </x:c>
      <x:c r="H95" s="78" t="n">
        <x:f>IF($A95&lt;='Premissas'!$B$11,MAX(F95-G95,0),"")</x:f>
        <x:v>1379.9561278086437</x:v>
      </x:c>
      <x:c r="I95" s="78" t="n">
        <x:f>IF($A95&lt;='Premissas'!$B$11,IF('Premissas'!$B$12="Sim",H95,0),"")</x:f>
        <x:v>1379.9561278086437</x:v>
      </x:c>
      <x:c r="J95" s="75" t="n">
        <x:f>IF($A95&lt;='Premissas'!$B$11,(E95+I95)/C95,"")</x:f>
        <x:v>19.84295246431131</x:v>
      </x:c>
      <x:c r="K95" s="75" t="n">
        <x:f>IF($A95&lt;='Premissas'!$B$11,D95+J95,"")</x:f>
        <x:v>1458.0209259462479</x:v>
      </x:c>
      <x:c r="L95" s="78" t="n">
        <x:f>IF($A95&lt;='Premissas'!$B$11,K95*C95,"")</x:f>
        <x:v>174874.4721038891</x:v>
      </x:c>
      <x:c r="M95" s="78" t="n">
        <x:f>IF($A95&lt;='Premissas'!$B$11,IF($A95=1,'Premissas'!$B$6+E95,M94+E95),"")</x:f>
        <x:v>102000</x:v>
      </x:c>
      <x:c r="N95" s="78" t="n">
        <x:f>IF($A95&lt;='Premissas'!$B$11,IF($A95=1,H95,N94+H95),"")</x:f>
        <x:v>58338.83470295283</x:v>
      </x:c>
      <x:c r="O95" s="78" t="n">
        <x:f>IF($A95&lt;='Premissas'!$B$11,IF($A95=1,IF('Premissas'!$B$12="Sim",0,H95),O94+IF('Premissas'!$B$12="Sim",0,H95)),"")</x:f>
        <x:v>0</x:v>
      </x:c>
      <x:c r="P95" s="81" t="n">
        <x:f>IF($A95&lt;='Premissas'!$B$11,IF(M95=0,0,(L95+O95)/M95-1),"")</x:f>
        <x:v>0.7144556088616578</x:v>
      </x:c>
      <x:c r="Q95" s="84" t="str">
        <x:f>IF($A95&lt;='Premissas'!$B$11,"Ativo","Fora")</x:f>
        <x:v>Ativo</x:v>
      </x:c>
    </x:row>
    <x:row r="96">
      <x:c r="A96" s="66" t="n">
        <x:v>93</x:v>
      </x:c>
      <x:c r="B96" s="69" t="n">
        <x:f>IF($A96&lt;='Premissas'!$B$11,EDATE('Premissas'!$B$13,$A96-1),"")</x:f>
        <x:v>49065</x:v>
      </x:c>
      <x:c r="C96" s="72" t="n">
        <x:f>IF($A96&lt;='Premissas'!$B$11,'Premissas'!$B$8*(1+'Premissas'!$B$10)^($A96-1),"")</x:f>
        <x:v>120.1794966930103</x:v>
      </x:c>
      <x:c r="D96" s="75" t="n">
        <x:f>IF($A96&lt;='Premissas'!$B$11,IF($A96=1,'Premissas'!$B$6/'Premissas'!$B$8,K95),"")</x:f>
        <x:v>1458.0209259462479</x:v>
      </x:c>
      <x:c r="E96" s="78" t="n">
        <x:f>IF($A96&lt;='Premissas'!$B$11,'Premissas'!$B$7,"")</x:f>
        <x:v>1000</x:v>
      </x:c>
      <x:c r="F96" s="78" t="n">
        <x:f>IF($A96&lt;='Premissas'!$B$11,D96*C96*'Premissas'!$B$9,"")</x:f>
        <x:v>1401.7937683847751</x:v>
      </x:c>
      <x:c r="G96" s="78" t="n">
        <x:f>IF($A96&lt;='Premissas'!$B$11,D96*C96*'Premissas'!$B$14,"")</x:f>
        <x:v>0</x:v>
      </x:c>
      <x:c r="H96" s="78" t="n">
        <x:f>IF($A96&lt;='Premissas'!$B$11,MAX(F96-G96,0),"")</x:f>
        <x:v>1401.7937683847751</x:v>
      </x:c>
      <x:c r="I96" s="78" t="n">
        <x:f>IF($A96&lt;='Premissas'!$B$11,IF('Premissas'!$B$12="Sim",H96,0),"")</x:f>
        <x:v>1401.7937683847751</x:v>
      </x:c>
      <x:c r="J96" s="75" t="n">
        <x:f>IF($A96&lt;='Premissas'!$B$11,(E96+I96)/C96,"")</x:f>
        <x:v>19.985054310220495</x:v>
      </x:c>
      <x:c r="K96" s="75" t="n">
        <x:f>IF($A96&lt;='Premissas'!$B$11,D96+J96,"")</x:f>
        <x:v>1478.0059802564683</x:v>
      </x:c>
      <x:c r="L96" s="78" t="n">
        <x:f>IF($A96&lt;='Premissas'!$B$11,K96*C96,"")</x:f>
        <x:v>177626.01481648168</x:v>
      </x:c>
      <x:c r="M96" s="78" t="n">
        <x:f>IF($A96&lt;='Premissas'!$B$11,IF($A96=1,'Premissas'!$B$6+E96,M95+E96),"")</x:f>
        <x:v>103000</x:v>
      </x:c>
      <x:c r="N96" s="78" t="n">
        <x:f>IF($A96&lt;='Premissas'!$B$11,IF($A96=1,H96,N95+H96),"")</x:f>
        <x:v>59740.62847133761</x:v>
      </x:c>
      <x:c r="O96" s="78" t="n">
        <x:f>IF($A96&lt;='Premissas'!$B$11,IF($A96=1,IF('Premissas'!$B$12="Sim",0,H96),O95+IF('Premissas'!$B$12="Sim",0,H96)),"")</x:f>
        <x:v>0</x:v>
      </x:c>
      <x:c r="P96" s="81" t="n">
        <x:f>IF($A96&lt;='Premissas'!$B$11,IF(M96=0,0,(L96+O96)/M96-1),"")</x:f>
        <x:v>0.724524415693997</x:v>
      </x:c>
      <x:c r="Q96" s="84" t="str">
        <x:f>IF($A96&lt;='Premissas'!$B$11,"Ativo","Fora")</x:f>
        <x:v>Ativo</x:v>
      </x:c>
    </x:row>
    <x:row r="97">
      <x:c r="A97" s="66" t="n">
        <x:v>94</x:v>
      </x:c>
      <x:c r="B97" s="69" t="n">
        <x:f>IF($A97&lt;='Premissas'!$B$11,EDATE('Premissas'!$B$13,$A97-1),"")</x:f>
        <x:v>49096</x:v>
      </x:c>
      <x:c r="C97" s="72" t="n">
        <x:f>IF($A97&lt;='Premissas'!$B$11,'Premissas'!$B$8*(1+'Premissas'!$B$10)^($A97-1),"")</x:f>
        <x:v>120.4198556863963</x:v>
      </x:c>
      <x:c r="D97" s="75" t="n">
        <x:f>IF($A97&lt;='Premissas'!$B$11,IF($A97=1,'Premissas'!$B$6/'Premissas'!$B$8,K96),"")</x:f>
        <x:v>1478.0059802564683</x:v>
      </x:c>
      <x:c r="E97" s="78" t="n">
        <x:f>IF($A97&lt;='Premissas'!$B$11,'Premissas'!$B$7,"")</x:f>
        <x:v>1000</x:v>
      </x:c>
      <x:c r="F97" s="78" t="n">
        <x:f>IF($A97&lt;='Premissas'!$B$11,D97*C97*'Premissas'!$B$9,"")</x:f>
        <x:v>1423.850134768917</x:v>
      </x:c>
      <x:c r="G97" s="78" t="n">
        <x:f>IF($A97&lt;='Premissas'!$B$11,D97*C97*'Premissas'!$B$14,"")</x:f>
        <x:v>0</x:v>
      </x:c>
      <x:c r="H97" s="78" t="n">
        <x:f>IF($A97&lt;='Premissas'!$B$11,MAX(F97-G97,0),"")</x:f>
        <x:v>1423.850134768917</x:v>
      </x:c>
      <x:c r="I97" s="78" t="n">
        <x:f>IF($A97&lt;='Premissas'!$B$11,IF('Premissas'!$B$12="Sim",H97,0),"")</x:f>
        <x:v>1423.850134768917</x:v>
      </x:c>
      <x:c r="J97" s="75" t="n">
        <x:f>IF($A97&lt;='Premissas'!$B$11,(E97+I97)/C97,"")</x:f>
        <x:v>20.128326188010345</x:v>
      </x:c>
      <x:c r="K97" s="75" t="n">
        <x:f>IF($A97&lt;='Premissas'!$B$11,D97+J97,"")</x:f>
        <x:v>1498.1343064444786</x:v>
      </x:c>
      <x:c r="L97" s="78" t="n">
        <x:f>IF($A97&lt;='Premissas'!$B$11,K97*C97,"")</x:f>
        <x:v>180405.11698088353</x:v>
      </x:c>
      <x:c r="M97" s="78" t="n">
        <x:f>IF($A97&lt;='Premissas'!$B$11,IF($A97=1,'Premissas'!$B$6+E97,M96+E97),"")</x:f>
        <x:v>104000</x:v>
      </x:c>
      <x:c r="N97" s="78" t="n">
        <x:f>IF($A97&lt;='Premissas'!$B$11,IF($A97=1,H97,N96+H97),"")</x:f>
        <x:v>61164.478606106524</x:v>
      </x:c>
      <x:c r="O97" s="78" t="n">
        <x:f>IF($A97&lt;='Premissas'!$B$11,IF($A97=1,IF('Premissas'!$B$12="Sim",0,H97),O96+IF('Premissas'!$B$12="Sim",0,H97)),"")</x:f>
        <x:v>0</x:v>
      </x:c>
      <x:c r="P97" s="81" t="n">
        <x:f>IF($A97&lt;='Premissas'!$B$11,IF(M97=0,0,(L97+O97)/M97-1),"")</x:f>
        <x:v>0.7346645863546493</x:v>
      </x:c>
      <x:c r="Q97" s="84" t="str">
        <x:f>IF($A97&lt;='Premissas'!$B$11,"Ativo","Fora")</x:f>
        <x:v>Ativo</x:v>
      </x:c>
    </x:row>
    <x:row r="98">
      <x:c r="A98" s="66" t="n">
        <x:v>95</x:v>
      </x:c>
      <x:c r="B98" s="69" t="n">
        <x:f>IF($A98&lt;='Premissas'!$B$11,EDATE('Premissas'!$B$13,$A98-1),"")</x:f>
        <x:v>49126</x:v>
      </x:c>
      <x:c r="C98" s="72" t="n">
        <x:f>IF($A98&lt;='Premissas'!$B$11,'Premissas'!$B$8*(1+'Premissas'!$B$10)^($A98-1),"")</x:f>
        <x:v>120.66069539776912</x:v>
      </x:c>
      <x:c r="D98" s="75" t="n">
        <x:f>IF($A98&lt;='Premissas'!$B$11,IF($A98=1,'Premissas'!$B$6/'Premissas'!$B$8,K97),"")</x:f>
        <x:v>1498.1343064444786</x:v>
      </x:c>
      <x:c r="E98" s="78" t="n">
        <x:f>IF($A98&lt;='Premissas'!$B$11,'Premissas'!$B$7,"")</x:f>
        <x:v>1000</x:v>
      </x:c>
      <x:c r="F98" s="78" t="n">
        <x:f>IF($A98&lt;='Premissas'!$B$11,D98*C98*'Premissas'!$B$9,"")</x:f>
        <x:v>1446.127417718763</x:v>
      </x:c>
      <x:c r="G98" s="78" t="n">
        <x:f>IF($A98&lt;='Premissas'!$B$11,D98*C98*'Premissas'!$B$14,"")</x:f>
        <x:v>0</x:v>
      </x:c>
      <x:c r="H98" s="78" t="n">
        <x:f>IF($A98&lt;='Premissas'!$B$11,MAX(F98-G98,0),"")</x:f>
        <x:v>1446.127417718763</x:v>
      </x:c>
      <x:c r="I98" s="78" t="n">
        <x:f>IF($A98&lt;='Premissas'!$B$11,IF('Premissas'!$B$12="Sim",H98,0),"")</x:f>
        <x:v>1446.127417718763</x:v>
      </x:c>
      <x:c r="J98" s="75" t="n">
        <x:f>IF($A98&lt;='Premissas'!$B$11,(E98+I98)/C98,"")</x:f>
        <x:v>20.272777391634268</x:v>
      </x:c>
      <x:c r="K98" s="75" t="n">
        <x:f>IF($A98&lt;='Premissas'!$B$11,D98+J98,"")</x:f>
        <x:v>1518.4070838361129</x:v>
      </x:c>
      <x:c r="L98" s="78" t="n">
        <x:f>IF($A98&lt;='Premissas'!$B$11,K98*C98,"")</x:f>
        <x:v>183212.0546325641</x:v>
      </x:c>
      <x:c r="M98" s="78" t="n">
        <x:f>IF($A98&lt;='Premissas'!$B$11,IF($A98=1,'Premissas'!$B$6+E98,M97+E98),"")</x:f>
        <x:v>105000</x:v>
      </x:c>
      <x:c r="N98" s="78" t="n">
        <x:f>IF($A98&lt;='Premissas'!$B$11,IF($A98=1,H98,N97+H98),"")</x:f>
        <x:v>62610.60602382529</x:v>
      </x:c>
      <x:c r="O98" s="78" t="n">
        <x:f>IF($A98&lt;='Premissas'!$B$11,IF($A98=1,IF('Premissas'!$B$12="Sim",0,H98),O97+IF('Premissas'!$B$12="Sim",0,H98)),"")</x:f>
        <x:v>0</x:v>
      </x:c>
      <x:c r="P98" s="81" t="n">
        <x:f>IF($A98&lt;='Premissas'!$B$11,IF(M98=0,0,(L98+O98)/M98-1),"")</x:f>
        <x:v>0.7448767107863248</x:v>
      </x:c>
      <x:c r="Q98" s="84" t="str">
        <x:f>IF($A98&lt;='Premissas'!$B$11,"Ativo","Fora")</x:f>
        <x:v>Ativo</x:v>
      </x:c>
    </x:row>
    <x:row r="99">
      <x:c r="A99" s="66" t="n">
        <x:v>96</x:v>
      </x:c>
      <x:c r="B99" s="69" t="n">
        <x:f>IF($A99&lt;='Premissas'!$B$11,EDATE('Premissas'!$B$13,$A99-1),"")</x:f>
        <x:v>49157</x:v>
      </x:c>
      <x:c r="C99" s="72" t="n">
        <x:f>IF($A99&lt;='Premissas'!$B$11,'Premissas'!$B$8*(1+'Premissas'!$B$10)^($A99-1),"")</x:f>
        <x:v>120.90201678856465</x:v>
      </x:c>
      <x:c r="D99" s="75" t="n">
        <x:f>IF($A99&lt;='Premissas'!$B$11,IF($A99=1,'Premissas'!$B$6/'Premissas'!$B$8,K98),"")</x:f>
        <x:v>1518.4070838361129</x:v>
      </x:c>
      <x:c r="E99" s="78" t="n">
        <x:f>IF($A99&lt;='Premissas'!$B$11,'Premissas'!$B$7,"")</x:f>
        <x:v>1000</x:v>
      </x:c>
      <x:c r="F99" s="78" t="n">
        <x:f>IF($A99&lt;='Premissas'!$B$11,D99*C99*'Premissas'!$B$9,"")</x:f>
        <x:v>1468.6278299346338</x:v>
      </x:c>
      <x:c r="G99" s="78" t="n">
        <x:f>IF($A99&lt;='Premissas'!$B$11,D99*C99*'Premissas'!$B$14,"")</x:f>
        <x:v>0</x:v>
      </x:c>
      <x:c r="H99" s="78" t="n">
        <x:f>IF($A99&lt;='Premissas'!$B$11,MAX(F99-G99,0),"")</x:f>
        <x:v>1468.6278299346338</x:v>
      </x:c>
      <x:c r="I99" s="78" t="n">
        <x:f>IF($A99&lt;='Premissas'!$B$11,IF('Premissas'!$B$12="Sim",H99,0),"")</x:f>
        <x:v>1468.6278299346338</x:v>
      </x:c>
      <x:c r="J99" s="75" t="n">
        <x:f>IF($A99&lt;='Premissas'!$B$11,(E99+I99)/C99,"")</x:f>
        <x:v>20.418417289529664</x:v>
      </x:c>
      <x:c r="K99" s="75" t="n">
        <x:f>IF($A99&lt;='Premissas'!$B$11,D99+J99,"")</x:f>
        <x:v>1538.8255011256426</x:v>
      </x:c>
      <x:c r="L99" s="78" t="n">
        <x:f>IF($A99&lt;='Premissas'!$B$11,K99*C99,"")</x:f>
        <x:v>186047.10657176387</x:v>
      </x:c>
      <x:c r="M99" s="78" t="n">
        <x:f>IF($A99&lt;='Premissas'!$B$11,IF($A99=1,'Premissas'!$B$6+E99,M98+E99),"")</x:f>
        <x:v>106000</x:v>
      </x:c>
      <x:c r="N99" s="78" t="n">
        <x:f>IF($A99&lt;='Premissas'!$B$11,IF($A99=1,H99,N98+H99),"")</x:f>
        <x:v>64079.23385375992</x:v>
      </x:c>
      <x:c r="O99" s="78" t="n">
        <x:f>IF($A99&lt;='Premissas'!$B$11,IF($A99=1,IF('Premissas'!$B$12="Sim",0,H99),O98+IF('Premissas'!$B$12="Sim",0,H99)),"")</x:f>
        <x:v>0</x:v>
      </x:c>
      <x:c r="P99" s="81" t="n">
        <x:f>IF($A99&lt;='Premissas'!$B$11,IF(M99=0,0,(L99+O99)/M99-1),"")</x:f>
        <x:v>0.7551613827524895</x:v>
      </x:c>
      <x:c r="Q99" s="84" t="str">
        <x:f>IF($A99&lt;='Premissas'!$B$11,"Ativo","Fora")</x:f>
        <x:v>Ativo</x:v>
      </x:c>
    </x:row>
    <x:row r="100">
      <x:c r="A100" s="66" t="n">
        <x:v>97</x:v>
      </x:c>
      <x:c r="B100" s="69" t="n">
        <x:f>IF($A100&lt;='Premissas'!$B$11,EDATE('Premissas'!$B$13,$A100-1),"")</x:f>
        <x:v>49188</x:v>
      </x:c>
      <x:c r="C100" s="72" t="n">
        <x:f>IF($A100&lt;='Premissas'!$B$11,'Premissas'!$B$8*(1+'Premissas'!$B$10)^($A100-1),"")</x:f>
        <x:v>121.14382082214176</x:v>
      </x:c>
      <x:c r="D100" s="75" t="n">
        <x:f>IF($A100&lt;='Premissas'!$B$11,IF($A100=1,'Premissas'!$B$6/'Premissas'!$B$8,K99),"")</x:f>
        <x:v>1538.8255011256426</x:v>
      </x:c>
      <x:c r="E100" s="78" t="n">
        <x:f>IF($A100&lt;='Premissas'!$B$11,'Premissas'!$B$7,"")</x:f>
        <x:v>1000</x:v>
      </x:c>
      <x:c r="F100" s="78" t="n">
        <x:f>IF($A100&lt;='Premissas'!$B$11,D100*C100*'Premissas'!$B$9,"")</x:f>
        <x:v>1491.3536062792589</x:v>
      </x:c>
      <x:c r="G100" s="78" t="n">
        <x:f>IF($A100&lt;='Premissas'!$B$11,D100*C100*'Premissas'!$B$14,"")</x:f>
        <x:v>0</x:v>
      </x:c>
      <x:c r="H100" s="78" t="n">
        <x:f>IF($A100&lt;='Premissas'!$B$11,MAX(F100-G100,0),"")</x:f>
        <x:v>1491.3536062792589</x:v>
      </x:c>
      <x:c r="I100" s="78" t="n">
        <x:f>IF($A100&lt;='Premissas'!$B$11,IF('Premissas'!$B$12="Sim",H100,0),"")</x:f>
        <x:v>1491.3536062792589</x:v>
      </x:c>
      <x:c r="J100" s="75" t="n">
        <x:f>IF($A100&lt;='Premissas'!$B$11,(E100+I100)/C100,"")</x:f>
        <x:v>20.565255325213485</x:v>
      </x:c>
      <x:c r="K100" s="75" t="n">
        <x:f>IF($A100&lt;='Premissas'!$B$11,D100+J100,"")</x:f>
        <x:v>1559.390756450856</x:v>
      </x:c>
      <x:c r="L100" s="78" t="n">
        <x:f>IF($A100&lt;='Premissas'!$B$11,K100*C100,"")</x:f>
        <x:v>188910.55439118663</x:v>
      </x:c>
      <x:c r="M100" s="78" t="n">
        <x:f>IF($A100&lt;='Premissas'!$B$11,IF($A100=1,'Premissas'!$B$6+E100,M99+E100),"")</x:f>
        <x:v>107000</x:v>
      </x:c>
      <x:c r="N100" s="78" t="n">
        <x:f>IF($A100&lt;='Premissas'!$B$11,IF($A100=1,H100,N99+H100),"")</x:f>
        <x:v>65570.58746003918</x:v>
      </x:c>
      <x:c r="O100" s="78" t="n">
        <x:f>IF($A100&lt;='Premissas'!$B$11,IF($A100=1,IF('Premissas'!$B$12="Sim",0,H100),O99+IF('Premissas'!$B$12="Sim",0,H100)),"")</x:f>
        <x:v>0</x:v>
      </x:c>
      <x:c r="P100" s="81" t="n">
        <x:f>IF($A100&lt;='Premissas'!$B$11,IF(M100=0,0,(L100+O100)/M100-1),"")</x:f>
        <x:v>0.7655191999176321</x:v>
      </x:c>
      <x:c r="Q100" s="84" t="str">
        <x:f>IF($A100&lt;='Premissas'!$B$11,"Ativo","Fora")</x:f>
        <x:v>Ativo</x:v>
      </x:c>
    </x:row>
    <x:row r="101">
      <x:c r="A101" s="66" t="n">
        <x:v>98</x:v>
      </x:c>
      <x:c r="B101" s="69" t="n">
        <x:f>IF($A101&lt;='Premissas'!$B$11,EDATE('Premissas'!$B$13,$A101-1),"")</x:f>
        <x:v>49218</x:v>
      </x:c>
      <x:c r="C101" s="72" t="n">
        <x:f>IF($A101&lt;='Premissas'!$B$11,'Premissas'!$B$8*(1+'Premissas'!$B$10)^($A101-1),"")</x:f>
        <x:v>121.38610846378606</x:v>
      </x:c>
      <x:c r="D101" s="75" t="n">
        <x:f>IF($A101&lt;='Premissas'!$B$11,IF($A101=1,'Premissas'!$B$6/'Premissas'!$B$8,K100),"")</x:f>
        <x:v>1559.390756450856</x:v>
      </x:c>
      <x:c r="E101" s="78" t="n">
        <x:f>IF($A101&lt;='Premissas'!$B$11,'Premissas'!$B$7,"")</x:f>
        <x:v>1000</x:v>
      </x:c>
      <x:c r="F101" s="78" t="n">
        <x:f>IF($A101&lt;='Premissas'!$B$11,D101*C101*'Premissas'!$B$9,"")</x:f>
        <x:v>1514.307003999752</x:v>
      </x:c>
      <x:c r="G101" s="78" t="n">
        <x:f>IF($A101&lt;='Premissas'!$B$11,D101*C101*'Premissas'!$B$14,"")</x:f>
        <x:v>0</x:v>
      </x:c>
      <x:c r="H101" s="78" t="n">
        <x:f>IF($A101&lt;='Premissas'!$B$11,MAX(F101-G101,0),"")</x:f>
        <x:v>1514.307003999752</x:v>
      </x:c>
      <x:c r="I101" s="78" t="n">
        <x:f>IF($A101&lt;='Premissas'!$B$11,IF('Premissas'!$B$12="Sim",H101,0),"")</x:f>
        <x:v>1514.307003999752</x:v>
      </x:c>
      <x:c r="J101" s="75" t="n">
        <x:f>IF($A101&lt;='Premissas'!$B$11,(E101+I101)/C101,"")</x:f>
        <x:v>20.713301017882635</x:v>
      </x:c>
      <x:c r="K101" s="75" t="n">
        <x:f>IF($A101&lt;='Premissas'!$B$11,D101+J101,"")</x:f>
        <x:v>1580.1040574687388</x:v>
      </x:c>
      <x:c r="L101" s="78" t="n">
        <x:f>IF($A101&lt;='Premissas'!$B$11,K101*C101,"")</x:f>
        <x:v>191802.68250396877</x:v>
      </x:c>
      <x:c r="M101" s="78" t="n">
        <x:f>IF($A101&lt;='Premissas'!$B$11,IF($A101=1,'Premissas'!$B$6+E101,M100+E101),"")</x:f>
        <x:v>108000</x:v>
      </x:c>
      <x:c r="N101" s="78" t="n">
        <x:f>IF($A101&lt;='Premissas'!$B$11,IF($A101=1,H101,N100+H101),"")</x:f>
        <x:v>67084.89446403894</x:v>
      </x:c>
      <x:c r="O101" s="78" t="n">
        <x:f>IF($A101&lt;='Premissas'!$B$11,IF($A101=1,IF('Premissas'!$B$12="Sim",0,H101),O100+IF('Premissas'!$B$12="Sim",0,H101)),"")</x:f>
        <x:v>0</x:v>
      </x:c>
      <x:c r="P101" s="81" t="n">
        <x:f>IF($A101&lt;='Premissas'!$B$11,IF(M101=0,0,(L101+O101)/M101-1),"")</x:f>
        <x:v>0.7759507639256367</x:v>
      </x:c>
      <x:c r="Q101" s="84" t="str">
        <x:f>IF($A101&lt;='Premissas'!$B$11,"Ativo","Fora")</x:f>
        <x:v>Ativo</x:v>
      </x:c>
    </x:row>
    <x:row r="102">
      <x:c r="A102" s="66" t="n">
        <x:v>99</x:v>
      </x:c>
      <x:c r="B102" s="69" t="n">
        <x:f>IF($A102&lt;='Premissas'!$B$11,EDATE('Premissas'!$B$13,$A102-1),"")</x:f>
        <x:v>49249</x:v>
      </x:c>
      <x:c r="C102" s="72" t="n">
        <x:f>IF($A102&lt;='Premissas'!$B$11,'Premissas'!$B$8*(1+'Premissas'!$B$10)^($A102-1),"")</x:f>
        <x:v>121.62888068071362</x:v>
      </x:c>
      <x:c r="D102" s="75" t="n">
        <x:f>IF($A102&lt;='Premissas'!$B$11,IF($A102=1,'Premissas'!$B$6/'Premissas'!$B$8,K101),"")</x:f>
        <x:v>1580.1040574687388</x:v>
      </x:c>
      <x:c r="E102" s="78" t="n">
        <x:f>IF($A102&lt;='Premissas'!$B$11,'Premissas'!$B$7,"")</x:f>
        <x:v>1000</x:v>
      </x:c>
      <x:c r="F102" s="78" t="n">
        <x:f>IF($A102&lt;='Premissas'!$B$11,D102*C102*'Premissas'!$B$9,"")</x:f>
        <x:v>1537.4903029518134</x:v>
      </x:c>
      <x:c r="G102" s="78" t="n">
        <x:f>IF($A102&lt;='Premissas'!$B$11,D102*C102*'Premissas'!$B$14,"")</x:f>
        <x:v>0</x:v>
      </x:c>
      <x:c r="H102" s="78" t="n">
        <x:f>IF($A102&lt;='Premissas'!$B$11,MAX(F102-G102,0),"")</x:f>
        <x:v>1537.4903029518134</x:v>
      </x:c>
      <x:c r="I102" s="78" t="n">
        <x:f>IF($A102&lt;='Premissas'!$B$11,IF('Premissas'!$B$12="Sim",H102,0),"")</x:f>
        <x:v>1537.4903029518134</x:v>
      </x:c>
      <x:c r="J102" s="75" t="n">
        <x:f>IF($A102&lt;='Premissas'!$B$11,(E102+I102)/C102,"")</x:f>
        <x:v>20.862563963019163</x:v>
      </x:c>
      <x:c r="K102" s="75" t="n">
        <x:f>IF($A102&lt;='Premissas'!$B$11,D102+J102,"")</x:f>
        <x:v>1600.9666214317579</x:v>
      </x:c>
      <x:c r="L102" s="78" t="n">
        <x:f>IF($A102&lt;='Premissas'!$B$11,K102*C102,"")</x:f>
        <x:v>194723.77817192848</x:v>
      </x:c>
      <x:c r="M102" s="78" t="n">
        <x:f>IF($A102&lt;='Premissas'!$B$11,IF($A102=1,'Premissas'!$B$6+E102,M101+E102),"")</x:f>
        <x:v>109000</x:v>
      </x:c>
      <x:c r="N102" s="78" t="n">
        <x:f>IF($A102&lt;='Premissas'!$B$11,IF($A102=1,H102,N101+H102),"")</x:f>
        <x:v>68622.38476699076</x:v>
      </x:c>
      <x:c r="O102" s="78" t="n">
        <x:f>IF($A102&lt;='Premissas'!$B$11,IF($A102=1,IF('Premissas'!$B$12="Sim",0,H102),O101+IF('Premissas'!$B$12="Sim",0,H102)),"")</x:f>
        <x:v>0</x:v>
      </x:c>
      <x:c r="P102" s="81" t="n">
        <x:f>IF($A102&lt;='Premissas'!$B$11,IF(M102=0,0,(L102+O102)/M102-1),"")</x:f>
        <x:v>0.7864566804764082</x:v>
      </x:c>
      <x:c r="Q102" s="84" t="str">
        <x:f>IF($A102&lt;='Premissas'!$B$11,"Ativo","Fora")</x:f>
        <x:v>Ativo</x:v>
      </x:c>
    </x:row>
    <x:row r="103">
      <x:c r="A103" s="66" t="n">
        <x:v>100</x:v>
      </x:c>
      <x:c r="B103" s="69" t="n">
        <x:f>IF($A103&lt;='Premissas'!$B$11,EDATE('Premissas'!$B$13,$A103-1),"")</x:f>
        <x:v>49279</x:v>
      </x:c>
      <x:c r="C103" s="72" t="n">
        <x:f>IF($A103&lt;='Premissas'!$B$11,'Premissas'!$B$8*(1+'Premissas'!$B$10)^($A103-1),"")</x:f>
        <x:v>121.87213844207506</x:v>
      </x:c>
      <x:c r="D103" s="75" t="n">
        <x:f>IF($A103&lt;='Premissas'!$B$11,IF($A103=1,'Premissas'!$B$6/'Premissas'!$B$8,K102),"")</x:f>
        <x:v>1600.9666214317579</x:v>
      </x:c>
      <x:c r="E103" s="78" t="n">
        <x:f>IF($A103&lt;='Premissas'!$B$11,'Premissas'!$B$7,"")</x:f>
        <x:v>1000</x:v>
      </x:c>
      <x:c r="F103" s="78" t="n">
        <x:f>IF($A103&lt;='Premissas'!$B$11,D103*C103*'Premissas'!$B$9,"")</x:f>
        <x:v>1560.905805826179</x:v>
      </x:c>
      <x:c r="G103" s="78" t="n">
        <x:f>IF($A103&lt;='Premissas'!$B$11,D103*C103*'Premissas'!$B$14,"")</x:f>
        <x:v>0</x:v>
      </x:c>
      <x:c r="H103" s="78" t="n">
        <x:f>IF($A103&lt;='Premissas'!$B$11,MAX(F103-G103,0),"")</x:f>
        <x:v>1560.905805826179</x:v>
      </x:c>
      <x:c r="I103" s="78" t="n">
        <x:f>IF($A103&lt;='Premissas'!$B$11,IF('Premissas'!$B$12="Sim",H103,0),"")</x:f>
        <x:v>1560.905805826179</x:v>
      </x:c>
      <x:c r="J103" s="75" t="n">
        <x:f>IF($A103&lt;='Premissas'!$B$11,(E103+I103)/C103,"")</x:f>
        <x:v>21.01305383300022</x:v>
      </x:c>
      <x:c r="K103" s="75" t="n">
        <x:f>IF($A103&lt;='Premissas'!$B$11,D103+J103,"")</x:f>
        <x:v>1621.979675264758</x:v>
      </x:c>
      <x:c r="L103" s="78" t="n">
        <x:f>IF($A103&lt;='Premissas'!$B$11,K103*C103,"")</x:f>
        <x:v>197674.13153409853</x:v>
      </x:c>
      <x:c r="M103" s="78" t="n">
        <x:f>IF($A103&lt;='Premissas'!$B$11,IF($A103=1,'Premissas'!$B$6+E103,M102+E103),"")</x:f>
        <x:v>110000</x:v>
      </x:c>
      <x:c r="N103" s="78" t="n">
        <x:f>IF($A103&lt;='Premissas'!$B$11,IF($A103=1,H103,N102+H103),"")</x:f>
        <x:v>70183.29057281693</x:v>
      </x:c>
      <x:c r="O103" s="78" t="n">
        <x:f>IF($A103&lt;='Premissas'!$B$11,IF($A103=1,IF('Premissas'!$B$12="Sim",0,H103),O102+IF('Premissas'!$B$12="Sim",0,H103)),"")</x:f>
        <x:v>0</x:v>
      </x:c>
      <x:c r="P103" s="81" t="n">
        <x:f>IF($A103&lt;='Premissas'!$B$11,IF(M103=0,0,(L103+O103)/M103-1),"")</x:f>
        <x:v>0.7970375594008958</x:v>
      </x:c>
      <x:c r="Q103" s="84" t="str">
        <x:f>IF($A103&lt;='Premissas'!$B$11,"Ativo","Fora")</x:f>
        <x:v>Ativo</x:v>
      </x:c>
    </x:row>
    <x:row r="104">
      <x:c r="A104" s="66" t="n">
        <x:v>101</x:v>
      </x:c>
      <x:c r="B104" s="69" t="n">
        <x:f>IF($A104&lt;='Premissas'!$B$11,EDATE('Premissas'!$B$13,$A104-1),"")</x:f>
        <x:v>49310</x:v>
      </x:c>
      <x:c r="C104" s="72" t="n">
        <x:f>IF($A104&lt;='Premissas'!$B$11,'Premissas'!$B$8*(1+'Premissas'!$B$10)^($A104-1),"")</x:f>
        <x:v>122.11588271895921</x:v>
      </x:c>
      <x:c r="D104" s="75" t="n">
        <x:f>IF($A104&lt;='Premissas'!$B$11,IF($A104=1,'Premissas'!$B$6/'Premissas'!$B$8,K103),"")</x:f>
        <x:v>1621.979675264758</x:v>
      </x:c>
      <x:c r="E104" s="78" t="n">
        <x:f>IF($A104&lt;='Premissas'!$B$11,'Premissas'!$B$7,"")</x:f>
        <x:v>1000</x:v>
      </x:c>
      <x:c r="F104" s="78" t="n">
        <x:f>IF($A104&lt;='Premissas'!$B$11,D104*C104*'Premissas'!$B$9,"")</x:f>
        <x:v>1584.5558383773339</x:v>
      </x:c>
      <x:c r="G104" s="78" t="n">
        <x:f>IF($A104&lt;='Premissas'!$B$11,D104*C104*'Premissas'!$B$14,"")</x:f>
        <x:v>0</x:v>
      </x:c>
      <x:c r="H104" s="78" t="n">
        <x:f>IF($A104&lt;='Premissas'!$B$11,MAX(F104-G104,0),"")</x:f>
        <x:v>1584.5558383773339</x:v>
      </x:c>
      <x:c r="I104" s="78" t="n">
        <x:f>IF($A104&lt;='Premissas'!$B$11,IF('Premissas'!$B$12="Sim",H104,0),"")</x:f>
        <x:v>1584.5558383773339</x:v>
      </x:c>
      <x:c r="J104" s="75" t="n">
        <x:f>IF($A104&lt;='Premissas'!$B$11,(E104+I104)/C104,"")</x:f>
        <x:v>21.164780377713033</x:v>
      </x:c>
      <x:c r="K104" s="75" t="n">
        <x:f>IF($A104&lt;='Premissas'!$B$11,D104+J104,"")</x:f>
        <x:v>1643.144455642471</x:v>
      </x:c>
      <x:c r="L104" s="78" t="n">
        <x:f>IF($A104&lt;='Premissas'!$B$11,K104*C104,"")</x:f>
        <x:v>200654.03563554407</x:v>
      </x:c>
      <x:c r="M104" s="78" t="n">
        <x:f>IF($A104&lt;='Premissas'!$B$11,IF($A104=1,'Premissas'!$B$6+E104,M103+E104),"")</x:f>
        <x:v>111000</x:v>
      </x:c>
      <x:c r="N104" s="78" t="n">
        <x:f>IF($A104&lt;='Premissas'!$B$11,IF($A104=1,H104,N103+H104),"")</x:f>
        <x:v>71767.84641119426</x:v>
      </x:c>
      <x:c r="O104" s="78" t="n">
        <x:f>IF($A104&lt;='Premissas'!$B$11,IF($A104=1,IF('Premissas'!$B$12="Sim",0,H104),O103+IF('Premissas'!$B$12="Sim",0,H104)),"")</x:f>
        <x:v>0</x:v>
      </x:c>
      <x:c r="P104" s="81" t="n">
        <x:f>IF($A104&lt;='Premissas'!$B$11,IF(M104=0,0,(L104+O104)/M104-1),"")</x:f>
        <x:v>0.8076940147346312</x:v>
      </x:c>
      <x:c r="Q104" s="84" t="str">
        <x:f>IF($A104&lt;='Premissas'!$B$11,"Ativo","Fora")</x:f>
        <x:v>Ativo</x:v>
      </x:c>
    </x:row>
    <x:row r="105">
      <x:c r="A105" s="66" t="n">
        <x:v>102</x:v>
      </x:c>
      <x:c r="B105" s="69" t="n">
        <x:f>IF($A105&lt;='Premissas'!$B$11,EDATE('Premissas'!$B$13,$A105-1),"")</x:f>
        <x:v>49341</x:v>
      </x:c>
      <x:c r="C105" s="72" t="n">
        <x:f>IF($A105&lt;='Premissas'!$B$11,'Premissas'!$B$8*(1+'Premissas'!$B$10)^($A105-1),"")</x:f>
        <x:v>122.36011448439712</x:v>
      </x:c>
      <x:c r="D105" s="75" t="n">
        <x:f>IF($A105&lt;='Premissas'!$B$11,IF($A105=1,'Premissas'!$B$6/'Premissas'!$B$8,K104),"")</x:f>
        <x:v>1643.144455642471</x:v>
      </x:c>
      <x:c r="E105" s="78" t="n">
        <x:f>IF($A105&lt;='Premissas'!$B$11,'Premissas'!$B$7,"")</x:f>
        <x:v>1000</x:v>
      </x:c>
      <x:c r="F105" s="78" t="n">
        <x:f>IF($A105&lt;='Premissas'!$B$11,D105*C105*'Premissas'!$B$9,"")</x:f>
        <x:v>1608.442749654521</x:v>
      </x:c>
      <x:c r="G105" s="78" t="n">
        <x:f>IF($A105&lt;='Premissas'!$B$11,D105*C105*'Premissas'!$B$14,"")</x:f>
        <x:v>0</x:v>
      </x:c>
      <x:c r="H105" s="78" t="n">
        <x:f>IF($A105&lt;='Premissas'!$B$11,MAX(F105-G105,0),"")</x:f>
        <x:v>1608.442749654521</x:v>
      </x:c>
      <x:c r="I105" s="78" t="n">
        <x:f>IF($A105&lt;='Premissas'!$B$11,IF('Premissas'!$B$12="Sim",H105,0),"")</x:f>
        <x:v>1608.442749654521</x:v>
      </x:c>
      <x:c r="J105" s="75" t="n">
        <x:f>IF($A105&lt;='Premissas'!$B$11,(E105+I105)/C105,"")</x:f>
        <x:v>21.31775342517467</x:v>
      </x:c>
      <x:c r="K105" s="75" t="n">
        <x:f>IF($A105&lt;='Premissas'!$B$11,D105+J105,"")</x:f>
        <x:v>1664.4622090676457</x:v>
      </x:c>
      <x:c r="L105" s="78" t="n">
        <x:f>IF($A105&lt;='Premissas'!$B$11,K105*C105,"")</x:f>
        <x:v>203663.78645646965</x:v>
      </x:c>
      <x:c r="M105" s="78" t="n">
        <x:f>IF($A105&lt;='Premissas'!$B$11,IF($A105=1,'Premissas'!$B$6+E105,M104+E105),"")</x:f>
        <x:v>112000</x:v>
      </x:c>
      <x:c r="N105" s="78" t="n">
        <x:f>IF($A105&lt;='Premissas'!$B$11,IF($A105=1,H105,N104+H105),"")</x:f>
        <x:v>73376.28916084878</x:v>
      </x:c>
      <x:c r="O105" s="78" t="n">
        <x:f>IF($A105&lt;='Premissas'!$B$11,IF($A105=1,IF('Premissas'!$B$12="Sim",0,H105),O104+IF('Premissas'!$B$12="Sim",0,H105)),"")</x:f>
        <x:v>0</x:v>
      </x:c>
      <x:c r="P105" s="81" t="n">
        <x:f>IF($A105&lt;='Premissas'!$B$11,IF(M105=0,0,(L105+O105)/M105-1),"")</x:f>
        <x:v>0.8184266647899077</x:v>
      </x:c>
      <x:c r="Q105" s="84" t="str">
        <x:f>IF($A105&lt;='Premissas'!$B$11,"Ativo","Fora")</x:f>
        <x:v>Ativo</x:v>
      </x:c>
    </x:row>
    <x:row r="106">
      <x:c r="A106" s="66" t="n">
        <x:v>103</x:v>
      </x:c>
      <x:c r="B106" s="69" t="n">
        <x:f>IF($A106&lt;='Premissas'!$B$11,EDATE('Premissas'!$B$13,$A106-1),"")</x:f>
        <x:v>49369</x:v>
      </x:c>
      <x:c r="C106" s="72" t="n">
        <x:f>IF($A106&lt;='Premissas'!$B$11,'Premissas'!$B$8*(1+'Premissas'!$B$10)^($A106-1),"")</x:f>
        <x:v>122.60483471336592</x:v>
      </x:c>
      <x:c r="D106" s="75" t="n">
        <x:f>IF($A106&lt;='Premissas'!$B$11,IF($A106=1,'Premissas'!$B$6/'Premissas'!$B$8,K105),"")</x:f>
        <x:v>1664.4622090676457</x:v>
      </x:c>
      <x:c r="E106" s="78" t="n">
        <x:f>IF($A106&lt;='Premissas'!$B$11,'Premissas'!$B$7,"")</x:f>
        <x:v>1000</x:v>
      </x:c>
      <x:c r="F106" s="78" t="n">
        <x:f>IF($A106&lt;='Premissas'!$B$11,D106*C106*'Premissas'!$B$9,"")</x:f>
        <x:v>1632.568912235061</x:v>
      </x:c>
      <x:c r="G106" s="78" t="n">
        <x:f>IF($A106&lt;='Premissas'!$B$11,D106*C106*'Premissas'!$B$14,"")</x:f>
        <x:v>0</x:v>
      </x:c>
      <x:c r="H106" s="78" t="n">
        <x:f>IF($A106&lt;='Premissas'!$B$11,MAX(F106-G106,0),"")</x:f>
        <x:v>1632.568912235061</x:v>
      </x:c>
      <x:c r="I106" s="78" t="n">
        <x:f>IF($A106&lt;='Premissas'!$B$11,IF('Premissas'!$B$12="Sim",H106,0),"")</x:f>
        <x:v>1632.568912235061</x:v>
      </x:c>
      <x:c r="J106" s="75" t="n">
        <x:f>IF($A106&lt;='Premissas'!$B$11,(E106+I106)/C106,"")</x:f>
        <x:v>21.471982882156833</x:v>
      </x:c>
      <x:c r="K106" s="75" t="n">
        <x:f>IF($A106&lt;='Premissas'!$B$11,D106+J106,"")</x:f>
        <x:v>1685.9341919498027</x:v>
      </x:c>
      <x:c r="L106" s="78" t="n">
        <x:f>IF($A106&lt;='Premissas'!$B$11,K106*C106,"")</x:f>
        <x:v>206703.68294161768</x:v>
      </x:c>
      <x:c r="M106" s="78" t="n">
        <x:f>IF($A106&lt;='Premissas'!$B$11,IF($A106=1,'Premissas'!$B$6+E106,M105+E106),"")</x:f>
        <x:v>113000</x:v>
      </x:c>
      <x:c r="N106" s="78" t="n">
        <x:f>IF($A106&lt;='Premissas'!$B$11,IF($A106=1,H106,N105+H106),"")</x:f>
        <x:v>75008.85807308384</x:v>
      </x:c>
      <x:c r="O106" s="78" t="n">
        <x:f>IF($A106&lt;='Premissas'!$B$11,IF($A106=1,IF('Premissas'!$B$12="Sim",0,H106),O105+IF('Premissas'!$B$12="Sim",0,H106)),"")</x:f>
        <x:v>0</x:v>
      </x:c>
      <x:c r="P106" s="81" t="n">
        <x:f>IF($A106&lt;='Premissas'!$B$11,IF(M106=0,0,(L106+O106)/M106-1),"")</x:f>
        <x:v>0.829236132226705</x:v>
      </x:c>
      <x:c r="Q106" s="84" t="str">
        <x:f>IF($A106&lt;='Premissas'!$B$11,"Ativo","Fora")</x:f>
        <x:v>Ativo</x:v>
      </x:c>
    </x:row>
    <x:row r="107">
      <x:c r="A107" s="66" t="n">
        <x:v>104</x:v>
      </x:c>
      <x:c r="B107" s="69" t="n">
        <x:f>IF($A107&lt;='Premissas'!$B$11,EDATE('Premissas'!$B$13,$A107-1),"")</x:f>
        <x:v>49400</x:v>
      </x:c>
      <x:c r="C107" s="72" t="n">
        <x:f>IF($A107&lt;='Premissas'!$B$11,'Premissas'!$B$8*(1+'Premissas'!$B$10)^($A107-1),"")</x:f>
        <x:v>122.85004438279266</x:v>
      </x:c>
      <x:c r="D107" s="75" t="n">
        <x:f>IF($A107&lt;='Premissas'!$B$11,IF($A107=1,'Premissas'!$B$6/'Premissas'!$B$8,K106),"")</x:f>
        <x:v>1685.9341919498027</x:v>
      </x:c>
      <x:c r="E107" s="78" t="n">
        <x:f>IF($A107&lt;='Premissas'!$B$11,'Premissas'!$B$7,"")</x:f>
        <x:v>1000</x:v>
      </x:c>
      <x:c r="F107" s="78" t="n">
        <x:f>IF($A107&lt;='Premissas'!$B$11,D107*C107*'Premissas'!$B$9,"")</x:f>
        <x:v>1656.9367224600076</x:v>
      </x:c>
      <x:c r="G107" s="78" t="n">
        <x:f>IF($A107&lt;='Premissas'!$B$11,D107*C107*'Premissas'!$B$14,"")</x:f>
        <x:v>0</x:v>
      </x:c>
      <x:c r="H107" s="78" t="n">
        <x:f>IF($A107&lt;='Premissas'!$B$11,MAX(F107-G107,0),"")</x:f>
        <x:v>1656.9367224600076</x:v>
      </x:c>
      <x:c r="I107" s="78" t="n">
        <x:f>IF($A107&lt;='Premissas'!$B$11,IF('Premissas'!$B$12="Sim",H107,0),"")</x:f>
        <x:v>1656.9367224600076</x:v>
      </x:c>
      <x:c r="J107" s="75" t="n">
        <x:f>IF($A107&lt;='Premissas'!$B$11,(E107+I107)/C107,"")</x:f>
        <x:v>21.627478734815654</x:v>
      </x:c>
      <x:c r="K107" s="75" t="n">
        <x:f>IF($A107&lt;='Premissas'!$B$11,D107+J107,"")</x:f>
        <x:v>1707.5616706846183</x:v>
      </x:c>
      <x:c r="L107" s="78" t="n">
        <x:f>IF($A107&lt;='Premissas'!$B$11,K107*C107,"")</x:f>
        <x:v>209774.02702996094</x:v>
      </x:c>
      <x:c r="M107" s="78" t="n">
        <x:f>IF($A107&lt;='Premissas'!$B$11,IF($A107=1,'Premissas'!$B$6+E107,M106+E107),"")</x:f>
        <x:v>114000</x:v>
      </x:c>
      <x:c r="N107" s="78" t="n">
        <x:f>IF($A107&lt;='Premissas'!$B$11,IF($A107=1,H107,N106+H107),"")</x:f>
        <x:v>76665.79479554386</x:v>
      </x:c>
      <x:c r="O107" s="78" t="n">
        <x:f>IF($A107&lt;='Premissas'!$B$11,IF($A107=1,IF('Premissas'!$B$12="Sim",0,H107),O106+IF('Premissas'!$B$12="Sim",0,H107)),"")</x:f>
        <x:v>0</x:v>
      </x:c>
      <x:c r="P107" s="81" t="n">
        <x:f>IF($A107&lt;='Premissas'!$B$11,IF(M107=0,0,(L107+O107)/M107-1),"")</x:f>
        <x:v>0.8401230441224643</x:v>
      </x:c>
      <x:c r="Q107" s="84" t="str">
        <x:f>IF($A107&lt;='Premissas'!$B$11,"Ativo","Fora")</x:f>
        <x:v>Ativo</x:v>
      </x:c>
    </x:row>
    <x:row r="108">
      <x:c r="A108" s="66" t="n">
        <x:v>105</x:v>
      </x:c>
      <x:c r="B108" s="69" t="n">
        <x:f>IF($A108&lt;='Premissas'!$B$11,EDATE('Premissas'!$B$13,$A108-1),"")</x:f>
        <x:v>49430</x:v>
      </x:c>
      <x:c r="C108" s="72" t="n">
        <x:f>IF($A108&lt;='Premissas'!$B$11,'Premissas'!$B$8*(1+'Premissas'!$B$10)^($A108-1),"")</x:f>
        <x:v>123.09574447155825</x:v>
      </x:c>
      <x:c r="D108" s="75" t="n">
        <x:f>IF($A108&lt;='Premissas'!$B$11,IF($A108=1,'Premissas'!$B$6/'Premissas'!$B$8,K107),"")</x:f>
        <x:v>1707.5616706846183</x:v>
      </x:c>
      <x:c r="E108" s="78" t="n">
        <x:f>IF($A108&lt;='Premissas'!$B$11,'Premissas'!$B$7,"")</x:f>
        <x:v>1000</x:v>
      </x:c>
      <x:c r="F108" s="78" t="n">
        <x:f>IF($A108&lt;='Premissas'!$B$11,D108*C108*'Premissas'!$B$9,"")</x:f>
        <x:v>1681.5486006721671</x:v>
      </x:c>
      <x:c r="G108" s="78" t="n">
        <x:f>IF($A108&lt;='Premissas'!$B$11,D108*C108*'Premissas'!$B$14,"")</x:f>
        <x:v>0</x:v>
      </x:c>
      <x:c r="H108" s="78" t="n">
        <x:f>IF($A108&lt;='Premissas'!$B$11,MAX(F108-G108,0),"")</x:f>
        <x:v>1681.5486006721671</x:v>
      </x:c>
      <x:c r="I108" s="78" t="n">
        <x:f>IF($A108&lt;='Premissas'!$B$11,IF('Premissas'!$B$12="Sim",H108,0),"")</x:f>
        <x:v>1681.5486006721671</x:v>
      </x:c>
      <x:c r="J108" s="75" t="n">
        <x:f>IF($A108&lt;='Premissas'!$B$11,(E108+I108)/C108,"")</x:f>
        <x:v>21.784251049326482</x:v>
      </x:c>
      <x:c r="K108" s="75" t="n">
        <x:f>IF($A108&lt;='Premissas'!$B$11,D108+J108,"")</x:f>
        <x:v>1729.3459217339448</x:v>
      </x:c>
      <x:c r="L108" s="78" t="n">
        <x:f>IF($A108&lt;='Premissas'!$B$11,K108*C108,"")</x:f>
        <x:v>212875.12368469304</x:v>
      </x:c>
      <x:c r="M108" s="78" t="n">
        <x:f>IF($A108&lt;='Premissas'!$B$11,IF($A108=1,'Premissas'!$B$6+E108,M107+E108),"")</x:f>
        <x:v>115000</x:v>
      </x:c>
      <x:c r="N108" s="78" t="n">
        <x:f>IF($A108&lt;='Premissas'!$B$11,IF($A108=1,H108,N107+H108),"")</x:f>
        <x:v>78347.34339621602</x:v>
      </x:c>
      <x:c r="O108" s="78" t="n">
        <x:f>IF($A108&lt;='Premissas'!$B$11,IF($A108=1,IF('Premissas'!$B$12="Sim",0,H108),O107+IF('Premissas'!$B$12="Sim",0,H108)),"")</x:f>
        <x:v>0</x:v>
      </x:c>
      <x:c r="P108" s="81" t="n">
        <x:f>IF($A108&lt;='Premissas'!$B$11,IF(M108=0,0,(L108+O108)/M108-1),"")</x:f>
        <x:v>0.851088032040809</x:v>
      </x:c>
      <x:c r="Q108" s="84" t="str">
        <x:f>IF($A108&lt;='Premissas'!$B$11,"Ativo","Fora")</x:f>
        <x:v>Ativo</x:v>
      </x:c>
    </x:row>
    <x:row r="109">
      <x:c r="A109" s="66" t="n">
        <x:v>106</x:v>
      </x:c>
      <x:c r="B109" s="69" t="n">
        <x:f>IF($A109&lt;='Premissas'!$B$11,EDATE('Premissas'!$B$13,$A109-1),"")</x:f>
        <x:v>49461</x:v>
      </x:c>
      <x:c r="C109" s="72" t="n">
        <x:f>IF($A109&lt;='Premissas'!$B$11,'Premissas'!$B$8*(1+'Premissas'!$B$10)^($A109-1),"")</x:f>
        <x:v>123.34193596050136</x:v>
      </x:c>
      <x:c r="D109" s="75" t="n">
        <x:f>IF($A109&lt;='Premissas'!$B$11,IF($A109=1,'Premissas'!$B$6/'Premissas'!$B$8,K108),"")</x:f>
        <x:v>1729.3459217339448</x:v>
      </x:c>
      <x:c r="E109" s="78" t="n">
        <x:f>IF($A109&lt;='Premissas'!$B$11,'Premissas'!$B$7,"")</x:f>
        <x:v>1000</x:v>
      </x:c>
      <x:c r="F109" s="78" t="n">
        <x:f>IF($A109&lt;='Premissas'!$B$11,D109*C109*'Premissas'!$B$9,"")</x:f>
        <x:v>1706.4069914564993</x:v>
      </x:c>
      <x:c r="G109" s="78" t="n">
        <x:f>IF($A109&lt;='Premissas'!$B$11,D109*C109*'Premissas'!$B$14,"")</x:f>
        <x:v>0</x:v>
      </x:c>
      <x:c r="H109" s="78" t="n">
        <x:f>IF($A109&lt;='Premissas'!$B$11,MAX(F109-G109,0),"")</x:f>
        <x:v>1706.4069914564993</x:v>
      </x:c>
      <x:c r="I109" s="78" t="n">
        <x:f>IF($A109&lt;='Premissas'!$B$11,IF('Premissas'!$B$12="Sim",H109,0),"")</x:f>
        <x:v>1706.4069914564993</x:v>
      </x:c>
      <x:c r="J109" s="75" t="n">
        <x:f>IF($A109&lt;='Premissas'!$B$11,(E109+I109)/C109,"")</x:f>
        <x:v>21.942309972523788</x:v>
      </x:c>
      <x:c r="K109" s="75" t="n">
        <x:f>IF($A109&lt;='Premissas'!$B$11,D109+J109,"")</x:f>
        <x:v>1751.2882317064687</x:v>
      </x:c>
      <x:c r="L109" s="78" t="n">
        <x:f>IF($A109&lt;='Premissas'!$B$11,K109*C109,"")</x:f>
        <x:v>216007.28092351893</x:v>
      </x:c>
      <x:c r="M109" s="78" t="n">
        <x:f>IF($A109&lt;='Premissas'!$B$11,IF($A109=1,'Premissas'!$B$6+E109,M108+E109),"")</x:f>
        <x:v>116000</x:v>
      </x:c>
      <x:c r="N109" s="78" t="n">
        <x:f>IF($A109&lt;='Premissas'!$B$11,IF($A109=1,H109,N108+H109),"")</x:f>
        <x:v>80053.75038767252</x:v>
      </x:c>
      <x:c r="O109" s="78" t="n">
        <x:f>IF($A109&lt;='Premissas'!$B$11,IF($A109=1,IF('Premissas'!$B$12="Sim",0,H109),O108+IF('Premissas'!$B$12="Sim",0,H109)),"")</x:f>
        <x:v>0</x:v>
      </x:c>
      <x:c r="P109" s="81" t="n">
        <x:f>IF($A109&lt;='Premissas'!$B$11,IF(M109=0,0,(L109+O109)/M109-1),"")</x:f>
        <x:v>0.8621317320993012</x:v>
      </x:c>
      <x:c r="Q109" s="84" t="str">
        <x:f>IF($A109&lt;='Premissas'!$B$11,"Ativo","Fora")</x:f>
        <x:v>Ativo</x:v>
      </x:c>
    </x:row>
    <x:row r="110">
      <x:c r="A110" s="66" t="n">
        <x:v>107</x:v>
      </x:c>
      <x:c r="B110" s="69" t="n">
        <x:f>IF($A110&lt;='Premissas'!$B$11,EDATE('Premissas'!$B$13,$A110-1),"")</x:f>
        <x:v>49491</x:v>
      </x:c>
      <x:c r="C110" s="72" t="n">
        <x:f>IF($A110&lt;='Premissas'!$B$11,'Premissas'!$B$8*(1+'Premissas'!$B$10)^($A110-1),"")</x:f>
        <x:v>123.58861983242235</x:v>
      </x:c>
      <x:c r="D110" s="75" t="n">
        <x:f>IF($A110&lt;='Premissas'!$B$11,IF($A110=1,'Premissas'!$B$6/'Premissas'!$B$8,K109),"")</x:f>
        <x:v>1751.2882317064687</x:v>
      </x:c>
      <x:c r="E110" s="78" t="n">
        <x:f>IF($A110&lt;='Premissas'!$B$11,'Premissas'!$B$7,"")</x:f>
        <x:v>1000</x:v>
      </x:c>
      <x:c r="F110" s="78" t="n">
        <x:f>IF($A110&lt;='Premissas'!$B$11,D110*C110*'Premissas'!$B$9,"")</x:f>
        <x:v>1731.5143638829275</x:v>
      </x:c>
      <x:c r="G110" s="78" t="n">
        <x:f>IF($A110&lt;='Premissas'!$B$11,D110*C110*'Premissas'!$B$14,"")</x:f>
        <x:v>0</x:v>
      </x:c>
      <x:c r="H110" s="78" t="n">
        <x:f>IF($A110&lt;='Premissas'!$B$11,MAX(F110-G110,0),"")</x:f>
        <x:v>1731.5143638829275</x:v>
      </x:c>
      <x:c r="I110" s="78" t="n">
        <x:f>IF($A110&lt;='Premissas'!$B$11,IF('Premissas'!$B$12="Sim",H110,0),"")</x:f>
        <x:v>1731.5143638829275</x:v>
      </x:c>
      <x:c r="J110" s="75" t="n">
        <x:f>IF($A110&lt;='Premissas'!$B$11,(E110+I110)/C110,"")</x:f>
        <x:v>22.10166573254619</x:v>
      </x:c>
      <x:c r="K110" s="75" t="n">
        <x:f>IF($A110&lt;='Premissas'!$B$11,D110+J110,"")</x:f>
        <x:v>1773.389897439015</x:v>
      </x:c>
      <x:c r="L110" s="78" t="n">
        <x:f>IF($A110&lt;='Premissas'!$B$11,K110*C110,"")</x:f>
        <x:v>219170.80984924888</x:v>
      </x:c>
      <x:c r="M110" s="78" t="n">
        <x:f>IF($A110&lt;='Premissas'!$B$11,IF($A110=1,'Premissas'!$B$6+E110,M109+E110),"")</x:f>
        <x:v>117000</x:v>
      </x:c>
      <x:c r="N110" s="78" t="n">
        <x:f>IF($A110&lt;='Premissas'!$B$11,IF($A110=1,H110,N109+H110),"")</x:f>
        <x:v>81785.26475155546</x:v>
      </x:c>
      <x:c r="O110" s="78" t="n">
        <x:f>IF($A110&lt;='Premissas'!$B$11,IF($A110=1,IF('Premissas'!$B$12="Sim",0,H110),O109+IF('Premissas'!$B$12="Sim",0,H110)),"")</x:f>
        <x:v>0</x:v>
      </x:c>
      <x:c r="P110" s="81" t="n">
        <x:f>IF($A110&lt;='Premissas'!$B$11,IF(M110=0,0,(L110+O110)/M110-1),"")</x:f>
        <x:v>0.8732547850363153</x:v>
      </x:c>
      <x:c r="Q110" s="84" t="str">
        <x:f>IF($A110&lt;='Premissas'!$B$11,"Ativo","Fora")</x:f>
        <x:v>Ativo</x:v>
      </x:c>
    </x:row>
    <x:row r="111">
      <x:c r="A111" s="66" t="n">
        <x:v>108</x:v>
      </x:c>
      <x:c r="B111" s="69" t="n">
        <x:f>IF($A111&lt;='Premissas'!$B$11,EDATE('Premissas'!$B$13,$A111-1),"")</x:f>
        <x:v>49522</x:v>
      </x:c>
      <x:c r="C111" s="72" t="n">
        <x:f>IF($A111&lt;='Premissas'!$B$11,'Premissas'!$B$8*(1+'Premissas'!$B$10)^($A111-1),"")</x:f>
        <x:v>123.8357970720872</x:v>
      </x:c>
      <x:c r="D111" s="75" t="n">
        <x:f>IF($A111&lt;='Premissas'!$B$11,IF($A111=1,'Premissas'!$B$6/'Premissas'!$B$8,K110),"")</x:f>
        <x:v>1773.389897439015</x:v>
      </x:c>
      <x:c r="E111" s="78" t="n">
        <x:f>IF($A111&lt;='Premissas'!$B$11,'Premissas'!$B$7,"")</x:f>
        <x:v>1000</x:v>
      </x:c>
      <x:c r="F111" s="78" t="n">
        <x:f>IF($A111&lt;='Premissas'!$B$11,D111*C111*'Premissas'!$B$9,"")</x:f>
        <x:v>1756.8732117515792</x:v>
      </x:c>
      <x:c r="G111" s="78" t="n">
        <x:f>IF($A111&lt;='Premissas'!$B$11,D111*C111*'Premissas'!$B$14,"")</x:f>
        <x:v>0</x:v>
      </x:c>
      <x:c r="H111" s="78" t="n">
        <x:f>IF($A111&lt;='Premissas'!$B$11,MAX(F111-G111,0),"")</x:f>
        <x:v>1756.8732117515792</x:v>
      </x:c>
      <x:c r="I111" s="78" t="n">
        <x:f>IF($A111&lt;='Premissas'!$B$11,IF('Premissas'!$B$12="Sim",H111,0),"")</x:f>
        <x:v>1756.8732117515792</x:v>
      </x:c>
      <x:c r="J111" s="75" t="n">
        <x:f>IF($A111&lt;='Premissas'!$B$11,(E111+I111)/C111,"")</x:f>
        <x:v>22.26232863948661</x:v>
      </x:c>
      <x:c r="K111" s="75" t="n">
        <x:f>IF($A111&lt;='Premissas'!$B$11,D111+J111,"")</x:f>
        <x:v>1795.6522260785016</x:v>
      </x:c>
      <x:c r="L111" s="78" t="n">
        <x:f>IF($A111&lt;='Premissas'!$B$11,K111*C111,"")</x:f>
        <x:v>222366.024680699</x:v>
      </x:c>
      <x:c r="M111" s="78" t="n">
        <x:f>IF($A111&lt;='Premissas'!$B$11,IF($A111=1,'Premissas'!$B$6+E111,M110+E111),"")</x:f>
        <x:v>118000</x:v>
      </x:c>
      <x:c r="N111" s="78" t="n">
        <x:f>IF($A111&lt;='Premissas'!$B$11,IF($A111=1,H111,N110+H111),"")</x:f>
        <x:v>83542.13796330703</x:v>
      </x:c>
      <x:c r="O111" s="78" t="n">
        <x:f>IF($A111&lt;='Premissas'!$B$11,IF($A111=1,IF('Premissas'!$B$12="Sim",0,H111),O110+IF('Premissas'!$B$12="Sim",0,H111)),"")</x:f>
        <x:v>0</x:v>
      </x:c>
      <x:c r="P111" s="81" t="n">
        <x:f>IF($A111&lt;='Premissas'!$B$11,IF(M111=0,0,(L111+O111)/M111-1),"")</x:f>
        <x:v>0.88445783627711</x:v>
      </x:c>
      <x:c r="Q111" s="84" t="str">
        <x:f>IF($A111&lt;='Premissas'!$B$11,"Ativo","Fora")</x:f>
        <x:v>Ativo</x:v>
      </x:c>
    </x:row>
    <x:row r="112">
      <x:c r="A112" s="66" t="n">
        <x:v>109</x:v>
      </x:c>
      <x:c r="B112" s="69" t="n">
        <x:f>IF($A112&lt;='Premissas'!$B$11,EDATE('Premissas'!$B$13,$A112-1),"")</x:f>
        <x:v>49553</x:v>
      </x:c>
      <x:c r="C112" s="72" t="n">
        <x:f>IF($A112&lt;='Premissas'!$B$11,'Premissas'!$B$8*(1+'Premissas'!$B$10)^($A112-1),"")</x:f>
        <x:v>124.08346866623137</x:v>
      </x:c>
      <x:c r="D112" s="75" t="n">
        <x:f>IF($A112&lt;='Premissas'!$B$11,IF($A112=1,'Premissas'!$B$6/'Premissas'!$B$8,K111),"")</x:f>
        <x:v>1795.6522260785016</x:v>
      </x:c>
      <x:c r="E112" s="78" t="n">
        <x:f>IF($A112&lt;='Premissas'!$B$11,'Premissas'!$B$7,"")</x:f>
        <x:v>1000</x:v>
      </x:c>
      <x:c r="F112" s="78" t="n">
        <x:f>IF($A112&lt;='Premissas'!$B$11,D112*C112*'Premissas'!$B$9,"")</x:f>
        <x:v>1782.4860538404828</x:v>
      </x:c>
      <x:c r="G112" s="78" t="n">
        <x:f>IF($A112&lt;='Premissas'!$B$11,D112*C112*'Premissas'!$B$14,"")</x:f>
        <x:v>0</x:v>
      </x:c>
      <x:c r="H112" s="78" t="n">
        <x:f>IF($A112&lt;='Premissas'!$B$11,MAX(F112-G112,0),"")</x:f>
        <x:v>1782.4860538404828</x:v>
      </x:c>
      <x:c r="I112" s="78" t="n">
        <x:f>IF($A112&lt;='Premissas'!$B$11,IF('Premissas'!$B$12="Sim",H112,0),"")</x:f>
        <x:v>1782.4860538404828</x:v>
      </x:c>
      <x:c r="J112" s="75" t="n">
        <x:f>IF($A112&lt;='Premissas'!$B$11,(E112+I112)/C112,"")</x:f>
        <x:v>22.424309086047664</x:v>
      </x:c>
      <x:c r="K112" s="75" t="n">
        <x:f>IF($A112&lt;='Premissas'!$B$11,D112+J112,"")</x:f>
        <x:v>1818.0765351645493</x:v>
      </x:c>
      <x:c r="L112" s="78" t="n">
        <x:f>IF($A112&lt;='Premissas'!$B$11,K112*C112,"")</x:f>
        <x:v>225593.24278390085</x:v>
      </x:c>
      <x:c r="M112" s="78" t="n">
        <x:f>IF($A112&lt;='Premissas'!$B$11,IF($A112=1,'Premissas'!$B$6+E112,M111+E112),"")</x:f>
        <x:v>119000</x:v>
      </x:c>
      <x:c r="N112" s="78" t="n">
        <x:f>IF($A112&lt;='Premissas'!$B$11,IF($A112=1,H112,N111+H112),"")</x:f>
        <x:v>85324.62401714752</x:v>
      </x:c>
      <x:c r="O112" s="78" t="n">
        <x:f>IF($A112&lt;='Premissas'!$B$11,IF($A112=1,IF('Premissas'!$B$12="Sim",0,H112),O111+IF('Premissas'!$B$12="Sim",0,H112)),"")</x:f>
        <x:v>0</x:v>
      </x:c>
      <x:c r="P112" s="81" t="n">
        <x:f>IF($A112&lt;='Premissas'!$B$11,IF(M112=0,0,(L112+O112)/M112-1),"")</x:f>
        <x:v>0.8957415359991667</x:v>
      </x:c>
      <x:c r="Q112" s="84" t="str">
        <x:f>IF($A112&lt;='Premissas'!$B$11,"Ativo","Fora")</x:f>
        <x:v>Ativo</x:v>
      </x:c>
    </x:row>
    <x:row r="113">
      <x:c r="A113" s="66" t="n">
        <x:v>110</x:v>
      </x:c>
      <x:c r="B113" s="69" t="n">
        <x:f>IF($A113&lt;='Premissas'!$B$11,EDATE('Premissas'!$B$13,$A113-1),"")</x:f>
        <x:v>49583</x:v>
      </x:c>
      <x:c r="C113" s="72" t="n">
        <x:f>IF($A113&lt;='Premissas'!$B$11,'Premissas'!$B$8*(1+'Premissas'!$B$10)^($A113-1),"")</x:f>
        <x:v>124.33163560356384</x:v>
      </x:c>
      <x:c r="D113" s="75" t="n">
        <x:f>IF($A113&lt;='Premissas'!$B$11,IF($A113=1,'Premissas'!$B$6/'Premissas'!$B$8,K112),"")</x:f>
        <x:v>1818.0765351645493</x:v>
      </x:c>
      <x:c r="E113" s="78" t="n">
        <x:f>IF($A113&lt;='Premissas'!$B$11,'Premissas'!$B$7,"")</x:f>
        <x:v>1000</x:v>
      </x:c>
      <x:c r="F113" s="78" t="n">
        <x:f>IF($A113&lt;='Premissas'!$B$11,D113*C113*'Premissas'!$B$9,"")</x:f>
        <x:v>1808.3554341557494</x:v>
      </x:c>
      <x:c r="G113" s="78" t="n">
        <x:f>IF($A113&lt;='Premissas'!$B$11,D113*C113*'Premissas'!$B$14,"")</x:f>
        <x:v>0</x:v>
      </x:c>
      <x:c r="H113" s="78" t="n">
        <x:f>IF($A113&lt;='Premissas'!$B$11,MAX(F113-G113,0),"")</x:f>
        <x:v>1808.3554341557494</x:v>
      </x:c>
      <x:c r="I113" s="78" t="n">
        <x:f>IF($A113&lt;='Premissas'!$B$11,IF('Premissas'!$B$12="Sim",H113,0),"")</x:f>
        <x:v>1808.3554341557494</x:v>
      </x:c>
      <x:c r="J113" s="75" t="n">
        <x:f>IF($A113&lt;='Premissas'!$B$11,(E113+I113)/C113,"")</x:f>
        <x:v>22.587617548202275</x:v>
      </x:c>
      <x:c r="K113" s="75" t="n">
        <x:f>IF($A113&lt;='Premissas'!$B$11,D113+J113,"")</x:f>
        <x:v>1840.6641527127517</x:v>
      </x:c>
      <x:c r="L113" s="78" t="n">
        <x:f>IF($A113&lt;='Premissas'!$B$11,K113*C113,"")</x:f>
        <x:v>228852.78470362443</x:v>
      </x:c>
      <x:c r="M113" s="78" t="n">
        <x:f>IF($A113&lt;='Premissas'!$B$11,IF($A113=1,'Premissas'!$B$6+E113,M112+E113),"")</x:f>
        <x:v>120000</x:v>
      </x:c>
      <x:c r="N113" s="78" t="n">
        <x:f>IF($A113&lt;='Premissas'!$B$11,IF($A113=1,H113,N112+H113),"")</x:f>
        <x:v>87132.97945130327</x:v>
      </x:c>
      <x:c r="O113" s="78" t="n">
        <x:f>IF($A113&lt;='Premissas'!$B$11,IF($A113=1,IF('Premissas'!$B$12="Sim",0,H113),O112+IF('Premissas'!$B$12="Sim",0,H113)),"")</x:f>
        <x:v>0</x:v>
      </x:c>
      <x:c r="P113" s="81" t="n">
        <x:f>IF($A113&lt;='Premissas'!$B$11,IF(M113=0,0,(L113+O113)/M113-1),"")</x:f>
        <x:v>0.9071065391968702</x:v>
      </x:c>
      <x:c r="Q113" s="84" t="str">
        <x:f>IF($A113&lt;='Premissas'!$B$11,"Ativo","Fora")</x:f>
        <x:v>Ativo</x:v>
      </x:c>
    </x:row>
    <x:row r="114">
      <x:c r="A114" s="66" t="n">
        <x:v>111</x:v>
      </x:c>
      <x:c r="B114" s="69" t="n">
        <x:f>IF($A114&lt;='Premissas'!$B$11,EDATE('Premissas'!$B$13,$A114-1),"")</x:f>
        <x:v>49614</x:v>
      </x:c>
      <x:c r="C114" s="72" t="n">
        <x:f>IF($A114&lt;='Premissas'!$B$11,'Premissas'!$B$8*(1+'Premissas'!$B$10)^($A114-1),"")</x:f>
        <x:v>124.58029887477096</x:v>
      </x:c>
      <x:c r="D114" s="75" t="n">
        <x:f>IF($A114&lt;='Premissas'!$B$11,IF($A114=1,'Premissas'!$B$6/'Premissas'!$B$8,K113),"")</x:f>
        <x:v>1840.6641527127517</x:v>
      </x:c>
      <x:c r="E114" s="78" t="n">
        <x:f>IF($A114&lt;='Premissas'!$B$11,'Premissas'!$B$7,"")</x:f>
        <x:v>1000</x:v>
      </x:c>
      <x:c r="F114" s="78" t="n">
        <x:f>IF($A114&lt;='Premissas'!$B$11,D114*C114*'Premissas'!$B$9,"")</x:f>
        <x:v>1834.4839221842533</x:v>
      </x:c>
      <x:c r="G114" s="78" t="n">
        <x:f>IF($A114&lt;='Premissas'!$B$11,D114*C114*'Premissas'!$B$14,"")</x:f>
        <x:v>0</x:v>
      </x:c>
      <x:c r="H114" s="78" t="n">
        <x:f>IF($A114&lt;='Premissas'!$B$11,MAX(F114-G114,0),"")</x:f>
        <x:v>1834.4839221842533</x:v>
      </x:c>
      <x:c r="I114" s="78" t="n">
        <x:f>IF($A114&lt;='Premissas'!$B$11,IF('Premissas'!$B$12="Sim",H114,0),"")</x:f>
        <x:v>1834.4839221842533</x:v>
      </x:c>
      <x:c r="J114" s="75" t="n">
        <x:f>IF($A114&lt;='Premissas'!$B$11,(E114+I114)/C114,"")</x:f>
        <x:v>22.752264585859578</x:v>
      </x:c>
      <x:c r="K114" s="75" t="n">
        <x:f>IF($A114&lt;='Premissas'!$B$11,D114+J114,"")</x:f>
        <x:v>1863.4164172986113</x:v>
      </x:c>
      <x:c r="L114" s="78" t="n">
        <x:f>IF($A114&lt;='Premissas'!$B$11,K114*C114,"")</x:f>
        <x:v>232144.97419521594</x:v>
      </x:c>
      <x:c r="M114" s="78" t="n">
        <x:f>IF($A114&lt;='Premissas'!$B$11,IF($A114=1,'Premissas'!$B$6+E114,M113+E114),"")</x:f>
        <x:v>121000</x:v>
      </x:c>
      <x:c r="N114" s="78" t="n">
        <x:f>IF($A114&lt;='Premissas'!$B$11,IF($A114=1,H114,N113+H114),"")</x:f>
        <x:v>88967.46337348752</x:v>
      </x:c>
      <x:c r="O114" s="78" t="n">
        <x:f>IF($A114&lt;='Premissas'!$B$11,IF($A114=1,IF('Premissas'!$B$12="Sim",0,H114),O113+IF('Premissas'!$B$12="Sim",0,H114)),"")</x:f>
        <x:v>0</x:v>
      </x:c>
      <x:c r="P114" s="81" t="n">
        <x:f>IF($A114&lt;='Premissas'!$B$11,IF(M114=0,0,(L114+O114)/M114-1),"")</x:f>
        <x:v>0.9185535057455863</x:v>
      </x:c>
      <x:c r="Q114" s="84" t="str">
        <x:f>IF($A114&lt;='Premissas'!$B$11,"Ativo","Fora")</x:f>
        <x:v>Ativo</x:v>
      </x:c>
    </x:row>
    <x:row r="115">
      <x:c r="A115" s="66" t="n">
        <x:v>112</x:v>
      </x:c>
      <x:c r="B115" s="69" t="n">
        <x:f>IF($A115&lt;='Premissas'!$B$11,EDATE('Premissas'!$B$13,$A115-1),"")</x:f>
        <x:v>49644</x:v>
      </x:c>
      <x:c r="C115" s="72" t="n">
        <x:f>IF($A115&lt;='Premissas'!$B$11,'Premissas'!$B$8*(1+'Premissas'!$B$10)^($A115-1),"")</x:f>
        <x:v>124.82945947252051</x:v>
      </x:c>
      <x:c r="D115" s="75" t="n">
        <x:f>IF($A115&lt;='Premissas'!$B$11,IF($A115=1,'Premissas'!$B$6/'Premissas'!$B$8,K114),"")</x:f>
        <x:v>1863.4164172986113</x:v>
      </x:c>
      <x:c r="E115" s="78" t="n">
        <x:f>IF($A115&lt;='Premissas'!$B$11,'Premissas'!$B$7,"")</x:f>
        <x:v>1000</x:v>
      </x:c>
      <x:c r="F115" s="78" t="n">
        <x:f>IF($A115&lt;='Premissas'!$B$11,D115*C115*'Premissas'!$B$9,"")</x:f>
        <x:v>1860.8741131488512</x:v>
      </x:c>
      <x:c r="G115" s="78" t="n">
        <x:f>IF($A115&lt;='Premissas'!$B$11,D115*C115*'Premissas'!$B$14,"")</x:f>
        <x:v>0</x:v>
      </x:c>
      <x:c r="H115" s="78" t="n">
        <x:f>IF($A115&lt;='Premissas'!$B$11,MAX(F115-G115,0),"")</x:f>
        <x:v>1860.8741131488512</x:v>
      </x:c>
      <x:c r="I115" s="78" t="n">
        <x:f>IF($A115&lt;='Premissas'!$B$11,IF('Premissas'!$B$12="Sim",H115,0),"")</x:f>
        <x:v>1860.8741131488512</x:v>
      </x:c>
      <x:c r="J115" s="75" t="n">
        <x:f>IF($A115&lt;='Premissas'!$B$11,(E115+I115)/C115,"")</x:f>
        <x:v>22.918260843536164</x:v>
      </x:c>
      <x:c r="K115" s="75" t="n">
        <x:f>IF($A115&lt;='Premissas'!$B$11,D115+J115,"")</x:f>
        <x:v>1886.3346781421476</x:v>
      </x:c>
      <x:c r="L115" s="78" t="n">
        <x:f>IF($A115&lt;='Premissas'!$B$11,K115*C115,"")</x:f>
        <x:v>235470.13825675525</x:v>
      </x:c>
      <x:c r="M115" s="78" t="n">
        <x:f>IF($A115&lt;='Premissas'!$B$11,IF($A115=1,'Premissas'!$B$6+E115,M114+E115),"")</x:f>
        <x:v>122000</x:v>
      </x:c>
      <x:c r="N115" s="78" t="n">
        <x:f>IF($A115&lt;='Premissas'!$B$11,IF($A115=1,H115,N114+H115),"")</x:f>
        <x:v>90828.33748663637</x:v>
      </x:c>
      <x:c r="O115" s="78" t="n">
        <x:f>IF($A115&lt;='Premissas'!$B$11,IF($A115=1,IF('Premissas'!$B$12="Sim",0,H115),O114+IF('Premissas'!$B$12="Sim",0,H115)),"")</x:f>
        <x:v>0</x:v>
      </x:c>
      <x:c r="P115" s="81" t="n">
        <x:f>IF($A115&lt;='Premissas'!$B$11,IF(M115=0,0,(L115+O115)/M115-1),"")</x:f>
        <x:v>0.930083100465207</x:v>
      </x:c>
      <x:c r="Q115" s="84" t="str">
        <x:f>IF($A115&lt;='Premissas'!$B$11,"Ativo","Fora")</x:f>
        <x:v>Ativo</x:v>
      </x:c>
    </x:row>
    <x:row r="116">
      <x:c r="A116" s="66" t="n">
        <x:v>113</x:v>
      </x:c>
      <x:c r="B116" s="69" t="n">
        <x:f>IF($A116&lt;='Premissas'!$B$11,EDATE('Premissas'!$B$13,$A116-1),"")</x:f>
        <x:v>49675</x:v>
      </x:c>
      <x:c r="C116" s="72" t="n">
        <x:f>IF($A116&lt;='Premissas'!$B$11,'Premissas'!$B$8*(1+'Premissas'!$B$10)^($A116-1),"")</x:f>
        <x:v>125.07911839146556</x:v>
      </x:c>
      <x:c r="D116" s="75" t="n">
        <x:f>IF($A116&lt;='Premissas'!$B$11,IF($A116=1,'Premissas'!$B$6/'Premissas'!$B$8,K115),"")</x:f>
        <x:v>1886.3346781421476</x:v>
      </x:c>
      <x:c r="E116" s="78" t="n">
        <x:f>IF($A116&lt;='Premissas'!$B$11,'Premissas'!$B$7,"")</x:f>
        <x:v>1000</x:v>
      </x:c>
      <x:c r="F116" s="78" t="n">
        <x:f>IF($A116&lt;='Premissas'!$B$11,D116*C116*'Premissas'!$B$9,"")</x:f>
        <x:v>1887.5286282661502</x:v>
      </x:c>
      <x:c r="G116" s="78" t="n">
        <x:f>IF($A116&lt;='Premissas'!$B$11,D116*C116*'Premissas'!$B$14,"")</x:f>
        <x:v>0</x:v>
      </x:c>
      <x:c r="H116" s="78" t="n">
        <x:f>IF($A116&lt;='Premissas'!$B$11,MAX(F116-G116,0),"")</x:f>
        <x:v>1887.5286282661502</x:v>
      </x:c>
      <x:c r="I116" s="78" t="n">
        <x:f>IF($A116&lt;='Premissas'!$B$11,IF('Premissas'!$B$12="Sim",H116,0),"")</x:f>
        <x:v>1887.5286282661502</x:v>
      </x:c>
      <x:c r="J116" s="75" t="n">
        <x:f>IF($A116&lt;='Premissas'!$B$11,(E116+I116)/C116,"")</x:f>
        <x:v>23.08561705103266</x:v>
      </x:c>
      <x:c r="K116" s="75" t="n">
        <x:f>IF($A116&lt;='Premissas'!$B$11,D116+J116,"")</x:f>
        <x:v>1909.4202951931802</x:v>
      </x:c>
      <x:c r="L116" s="78" t="n">
        <x:f>IF($A116&lt;='Premissas'!$B$11,K116*C116,"")</x:f>
        <x:v>238828.6071615349</x:v>
      </x:c>
      <x:c r="M116" s="78" t="n">
        <x:f>IF($A116&lt;='Premissas'!$B$11,IF($A116=1,'Premissas'!$B$6+E116,M115+E116),"")</x:f>
        <x:v>123000</x:v>
      </x:c>
      <x:c r="N116" s="78" t="n">
        <x:f>IF($A116&lt;='Premissas'!$B$11,IF($A116=1,H116,N115+H116),"")</x:f>
        <x:v>92715.86611490253</x:v>
      </x:c>
      <x:c r="O116" s="78" t="n">
        <x:f>IF($A116&lt;='Premissas'!$B$11,IF($A116=1,IF('Premissas'!$B$12="Sim",0,H116),O115+IF('Premissas'!$B$12="Sim",0,H116)),"")</x:f>
        <x:v>0</x:v>
      </x:c>
      <x:c r="P116" s="81" t="n">
        <x:f>IF($A116&lt;='Premissas'!$B$11,IF(M116=0,0,(L116+O116)/M116-1),"")</x:f>
        <x:v>0.9416959931832105</x:v>
      </x:c>
      <x:c r="Q116" s="84" t="str">
        <x:f>IF($A116&lt;='Premissas'!$B$11,"Ativo","Fora")</x:f>
        <x:v>Ativo</x:v>
      </x:c>
    </x:row>
    <x:row r="117">
      <x:c r="A117" s="66" t="n">
        <x:v>114</x:v>
      </x:c>
      <x:c r="B117" s="69" t="n">
        <x:f>IF($A117&lt;='Premissas'!$B$11,EDATE('Premissas'!$B$13,$A117-1),"")</x:f>
        <x:v>49706</x:v>
      </x:c>
      <x:c r="C117" s="72" t="n">
        <x:f>IF($A117&lt;='Premissas'!$B$11,'Premissas'!$B$8*(1+'Premissas'!$B$10)^($A117-1),"")</x:f>
        <x:v>125.3292766282485</x:v>
      </x:c>
      <x:c r="D117" s="75" t="n">
        <x:f>IF($A117&lt;='Premissas'!$B$11,IF($A117=1,'Premissas'!$B$6/'Premissas'!$B$8,K116),"")</x:f>
        <x:v>1909.4202951931802</x:v>
      </x:c>
      <x:c r="E117" s="78" t="n">
        <x:f>IF($A117&lt;='Premissas'!$B$11,'Premissas'!$B$7,"")</x:f>
        <x:v>1000</x:v>
      </x:c>
      <x:c r="F117" s="78" t="n">
        <x:f>IF($A117&lt;='Premissas'!$B$11,D117*C117*'Premissas'!$B$9,"")</x:f>
        <x:v>1914.4501150068638</x:v>
      </x:c>
      <x:c r="G117" s="78" t="n">
        <x:f>IF($A117&lt;='Premissas'!$B$11,D117*C117*'Premissas'!$B$14,"")</x:f>
        <x:v>0</x:v>
      </x:c>
      <x:c r="H117" s="78" t="n">
        <x:f>IF($A117&lt;='Premissas'!$B$11,MAX(F117-G117,0),"")</x:f>
        <x:v>1914.4501150068638</x:v>
      </x:c>
      <x:c r="I117" s="78" t="n">
        <x:f>IF($A117&lt;='Premissas'!$B$11,IF('Premissas'!$B$12="Sim",H117,0),"")</x:f>
        <x:v>1914.4501150068638</x:v>
      </x:c>
      <x:c r="J117" s="75" t="n">
        <x:f>IF($A117&lt;='Premissas'!$B$11,(E117+I117)/C117,"")</x:f>
        <x:v>23.254344024115778</x:v>
      </x:c>
      <x:c r="K117" s="75" t="n">
        <x:f>IF($A117&lt;='Premissas'!$B$11,D117+J117,"")</x:f>
        <x:v>1932.674639217296</x:v>
      </x:c>
      <x:c r="L117" s="78" t="n">
        <x:f>IF($A117&lt;='Premissas'!$B$11,K117*C117,"")</x:f>
        <x:v>242220.71449086486</x:v>
      </x:c>
      <x:c r="M117" s="78" t="n">
        <x:f>IF($A117&lt;='Premissas'!$B$11,IF($A117=1,'Premissas'!$B$6+E117,M116+E117),"")</x:f>
        <x:v>124000</x:v>
      </x:c>
      <x:c r="N117" s="78" t="n">
        <x:f>IF($A117&lt;='Premissas'!$B$11,IF($A117=1,H117,N116+H117),"")</x:f>
        <x:v>94630.3162299094</x:v>
      </x:c>
      <x:c r="O117" s="78" t="n">
        <x:f>IF($A117&lt;='Premissas'!$B$11,IF($A117=1,IF('Premissas'!$B$12="Sim",0,H117),O116+IF('Premissas'!$B$12="Sim",0,H117)),"")</x:f>
        <x:v>0</x:v>
      </x:c>
      <x:c r="P117" s="81" t="n">
        <x:f>IF($A117&lt;='Premissas'!$B$11,IF(M117=0,0,(L117+O117)/M117-1),"")</x:f>
        <x:v>0.9533928587972973</x:v>
      </x:c>
      <x:c r="Q117" s="84" t="str">
        <x:f>IF($A117&lt;='Premissas'!$B$11,"Ativo","Fora")</x:f>
        <x:v>Ativo</x:v>
      </x:c>
    </x:row>
    <x:row r="118">
      <x:c r="A118" s="66" t="n">
        <x:v>115</x:v>
      </x:c>
      <x:c r="B118" s="69" t="n">
        <x:f>IF($A118&lt;='Premissas'!$B$11,EDATE('Premissas'!$B$13,$A118-1),"")</x:f>
        <x:v>49735</x:v>
      </x:c>
      <x:c r="C118" s="72" t="n">
        <x:f>IF($A118&lt;='Premissas'!$B$11,'Premissas'!$B$8*(1+'Premissas'!$B$10)^($A118-1),"")</x:f>
        <x:v>125.579935181505</x:v>
      </x:c>
      <x:c r="D118" s="75" t="n">
        <x:f>IF($A118&lt;='Premissas'!$B$11,IF($A118=1,'Premissas'!$B$6/'Premissas'!$B$8,K117),"")</x:f>
        <x:v>1932.674639217296</x:v>
      </x:c>
      <x:c r="E118" s="78" t="n">
        <x:f>IF($A118&lt;='Premissas'!$B$11,'Premissas'!$B$7,"")</x:f>
        <x:v>1000</x:v>
      </x:c>
      <x:c r="F118" s="78" t="n">
        <x:f>IF($A118&lt;='Premissas'!$B$11,D118*C118*'Premissas'!$B$9,"")</x:f>
        <x:v>1941.6412473587727</x:v>
      </x:c>
      <x:c r="G118" s="78" t="n">
        <x:f>IF($A118&lt;='Premissas'!$B$11,D118*C118*'Premissas'!$B$14,"")</x:f>
        <x:v>0</x:v>
      </x:c>
      <x:c r="H118" s="78" t="n">
        <x:f>IF($A118&lt;='Premissas'!$B$11,MAX(F118-G118,0),"")</x:f>
        <x:v>1941.6412473587727</x:v>
      </x:c>
      <x:c r="I118" s="78" t="n">
        <x:f>IF($A118&lt;='Premissas'!$B$11,IF('Premissas'!$B$12="Sim",H118,0),"")</x:f>
        <x:v>1941.6412473587727</x:v>
      </x:c>
      <x:c r="J118" s="75" t="n">
        <x:f>IF($A118&lt;='Premissas'!$B$11,(E118+I118)/C118,"")</x:f>
        <x:v>23.42445266520577</x:v>
      </x:c>
      <x:c r="K118" s="75" t="n">
        <x:f>IF($A118&lt;='Premissas'!$B$11,D118+J118,"")</x:f>
        <x:v>1956.0990918825019</x:v>
      </x:c>
      <x:c r="L118" s="78" t="n">
        <x:f>IF($A118&lt;='Premissas'!$B$11,K118*C118,"")</x:f>
        <x:v>245646.79716720537</x:v>
      </x:c>
      <x:c r="M118" s="78" t="n">
        <x:f>IF($A118&lt;='Premissas'!$B$11,IF($A118=1,'Premissas'!$B$6+E118,M117+E118),"")</x:f>
        <x:v>125000</x:v>
      </x:c>
      <x:c r="N118" s="78" t="n">
        <x:f>IF($A118&lt;='Premissas'!$B$11,IF($A118=1,H118,N117+H118),"")</x:f>
        <x:v>96571.95747726817</x:v>
      </x:c>
      <x:c r="O118" s="78" t="n">
        <x:f>IF($A118&lt;='Premissas'!$B$11,IF($A118=1,IF('Premissas'!$B$12="Sim",0,H118),O117+IF('Premissas'!$B$12="Sim",0,H118)),"")</x:f>
        <x:v>0</x:v>
      </x:c>
      <x:c r="P118" s="81" t="n">
        <x:f>IF($A118&lt;='Premissas'!$B$11,IF(M118=0,0,(L118+O118)/M118-1),"")</x:f>
        <x:v>0.9651743773376429</x:v>
      </x:c>
      <x:c r="Q118" s="84" t="str">
        <x:f>IF($A118&lt;='Premissas'!$B$11,"Ativo","Fora")</x:f>
        <x:v>Ativo</x:v>
      </x:c>
    </x:row>
    <x:row r="119">
      <x:c r="A119" s="66" t="n">
        <x:v>116</x:v>
      </x:c>
      <x:c r="B119" s="69" t="n">
        <x:f>IF($A119&lt;='Premissas'!$B$11,EDATE('Premissas'!$B$13,$A119-1),"")</x:f>
        <x:v>49766</x:v>
      </x:c>
      <x:c r="C119" s="72" t="n">
        <x:f>IF($A119&lt;='Premissas'!$B$11,'Premissas'!$B$8*(1+'Premissas'!$B$10)^($A119-1),"")</x:f>
        <x:v>125.83109505186798</x:v>
      </x:c>
      <x:c r="D119" s="75" t="n">
        <x:f>IF($A119&lt;='Premissas'!$B$11,IF($A119=1,'Premissas'!$B$6/'Premissas'!$B$8,K118),"")</x:f>
        <x:v>1956.0990918825019</x:v>
      </x:c>
      <x:c r="E119" s="78" t="n">
        <x:f>IF($A119&lt;='Premissas'!$B$11,'Premissas'!$B$7,"")</x:f>
        <x:v>1000</x:v>
      </x:c>
      <x:c r="F119" s="78" t="n">
        <x:f>IF($A119&lt;='Premissas'!$B$11,D119*C119*'Premissas'!$B$9,"")</x:f>
        <x:v>1969.1047260923178</x:v>
      </x:c>
      <x:c r="G119" s="78" t="n">
        <x:f>IF($A119&lt;='Premissas'!$B$11,D119*C119*'Premissas'!$B$14,"")</x:f>
        <x:v>0</x:v>
      </x:c>
      <x:c r="H119" s="78" t="n">
        <x:f>IF($A119&lt;='Premissas'!$B$11,MAX(F119-G119,0),"")</x:f>
        <x:v>1969.1047260923178</x:v>
      </x:c>
      <x:c r="I119" s="78" t="n">
        <x:f>IF($A119&lt;='Premissas'!$B$11,IF('Premissas'!$B$12="Sim",H119,0),"")</x:f>
        <x:v>1969.1047260923178</x:v>
      </x:c>
      <x:c r="J119" s="75" t="n">
        <x:f>IF($A119&lt;='Premissas'!$B$11,(E119+I119)/C119,"")</x:f>
        <x:v>23.595953964069402</x:v>
      </x:c>
      <x:c r="K119" s="75" t="n">
        <x:f>IF($A119&lt;='Premissas'!$B$11,D119+J119,"")</x:f>
        <x:v>1979.6950458465712</x:v>
      </x:c>
      <x:c r="L119" s="78" t="n">
        <x:f>IF($A119&lt;='Premissas'!$B$11,K119*C119,"")</x:f>
        <x:v>249107.19548763204</x:v>
      </x:c>
      <x:c r="M119" s="78" t="n">
        <x:f>IF($A119&lt;='Premissas'!$B$11,IF($A119=1,'Premissas'!$B$6+E119,M118+E119),"")</x:f>
        <x:v>126000</x:v>
      </x:c>
      <x:c r="N119" s="78" t="n">
        <x:f>IF($A119&lt;='Premissas'!$B$11,IF($A119=1,H119,N118+H119),"")</x:f>
        <x:v>98541.06220336049</x:v>
      </x:c>
      <x:c r="O119" s="78" t="n">
        <x:f>IF($A119&lt;='Premissas'!$B$11,IF($A119=1,IF('Premissas'!$B$12="Sim",0,H119),O118+IF('Premissas'!$B$12="Sim",0,H119)),"")</x:f>
        <x:v>0</x:v>
      </x:c>
      <x:c r="P119" s="81" t="n">
        <x:f>IF($A119&lt;='Premissas'!$B$11,IF(M119=0,0,(L119+O119)/M119-1),"")</x:f>
        <x:v>0.9770412340288257</x:v>
      </x:c>
      <x:c r="Q119" s="84" t="str">
        <x:f>IF($A119&lt;='Premissas'!$B$11,"Ativo","Fora")</x:f>
        <x:v>Ativo</x:v>
      </x:c>
    </x:row>
    <x:row r="120">
      <x:c r="A120" s="66" t="n">
        <x:v>117</x:v>
      </x:c>
      <x:c r="B120" s="69" t="n">
        <x:f>IF($A120&lt;='Premissas'!$B$11,EDATE('Premissas'!$B$13,$A120-1),"")</x:f>
        <x:v>49796</x:v>
      </x:c>
      <x:c r="C120" s="72" t="n">
        <x:f>IF($A120&lt;='Premissas'!$B$11,'Premissas'!$B$8*(1+'Premissas'!$B$10)^($A120-1),"")</x:f>
        <x:v>126.08275724197173</x:v>
      </x:c>
      <x:c r="D120" s="75" t="n">
        <x:f>IF($A120&lt;='Premissas'!$B$11,IF($A120=1,'Premissas'!$B$6/'Premissas'!$B$8,K119),"")</x:f>
        <x:v>1979.6950458465712</x:v>
      </x:c>
      <x:c r="E120" s="78" t="n">
        <x:f>IF($A120&lt;='Premissas'!$B$11,'Premissas'!$B$7,"")</x:f>
        <x:v>1000</x:v>
      </x:c>
      <x:c r="F120" s="78" t="n">
        <x:f>IF($A120&lt;='Premissas'!$B$11,D120*C120*'Premissas'!$B$9,"")</x:f>
        <x:v>1996.843279028859</x:v>
      </x:c>
      <x:c r="G120" s="78" t="n">
        <x:f>IF($A120&lt;='Premissas'!$B$11,D120*C120*'Premissas'!$B$14,"")</x:f>
        <x:v>0</x:v>
      </x:c>
      <x:c r="H120" s="78" t="n">
        <x:f>IF($A120&lt;='Premissas'!$B$11,MAX(F120-G120,0),"")</x:f>
        <x:v>1996.843279028859</x:v>
      </x:c>
      <x:c r="I120" s="78" t="n">
        <x:f>IF($A120&lt;='Premissas'!$B$11,IF('Premissas'!$B$12="Sim",H120,0),"")</x:f>
        <x:v>1996.843279028859</x:v>
      </x:c>
      <x:c r="J120" s="75" t="n">
        <x:f>IF($A120&lt;='Premissas'!$B$11,(E120+I120)/C120,"")</x:f>
        <x:v>23.768858998518464</x:v>
      </x:c>
      <x:c r="K120" s="75" t="n">
        <x:f>IF($A120&lt;='Premissas'!$B$11,D120+J120,"")</x:f>
        <x:v>2003.4639048450897</x:v>
      </x:c>
      <x:c r="L120" s="78" t="n">
        <x:f>IF($A120&lt;='Premissas'!$B$11,K120*C120,"")</x:f>
        <x:v>252602.2531576362</x:v>
      </x:c>
      <x:c r="M120" s="78" t="n">
        <x:f>IF($A120&lt;='Premissas'!$B$11,IF($A120=1,'Premissas'!$B$6+E120,M119+E120),"")</x:f>
        <x:v>127000</x:v>
      </x:c>
      <x:c r="N120" s="78" t="n">
        <x:f>IF($A120&lt;='Premissas'!$B$11,IF($A120=1,H120,N119+H120),"")</x:f>
        <x:v>100537.90548238935</x:v>
      </x:c>
      <x:c r="O120" s="78" t="n">
        <x:f>IF($A120&lt;='Premissas'!$B$11,IF($A120=1,IF('Premissas'!$B$12="Sim",0,H120),O119+IF('Premissas'!$B$12="Sim",0,H120)),"")</x:f>
        <x:v>0</x:v>
      </x:c>
      <x:c r="P120" s="81" t="n">
        <x:f>IF($A120&lt;='Premissas'!$B$11,IF(M120=0,0,(L120+O120)/M120-1),"")</x:f>
        <x:v>0.9889941193514662</x:v>
      </x:c>
      <x:c r="Q120" s="84" t="str">
        <x:f>IF($A120&lt;='Premissas'!$B$11,"Ativo","Fora")</x:f>
        <x:v>Ativo</x:v>
      </x:c>
    </x:row>
    <x:row r="121">
      <x:c r="A121" s="66" t="n">
        <x:v>118</x:v>
      </x:c>
      <x:c r="B121" s="69" t="n">
        <x:f>IF($A121&lt;='Premissas'!$B$11,EDATE('Premissas'!$B$13,$A121-1),"")</x:f>
        <x:v>49827</x:v>
      </x:c>
      <x:c r="C121" s="72" t="n">
        <x:f>IF($A121&lt;='Premissas'!$B$11,'Premissas'!$B$8*(1+'Premissas'!$B$10)^($A121-1),"")</x:f>
        <x:v>126.33492275645565</x:v>
      </x:c>
      <x:c r="D121" s="75" t="n">
        <x:f>IF($A121&lt;='Premissas'!$B$11,IF($A121=1,'Premissas'!$B$6/'Premissas'!$B$8,K120),"")</x:f>
        <x:v>2003.4639048450897</x:v>
      </x:c>
      <x:c r="E121" s="78" t="n">
        <x:f>IF($A121&lt;='Premissas'!$B$11,'Premissas'!$B$7,"")</x:f>
        <x:v>1000</x:v>
      </x:c>
      <x:c r="F121" s="78" t="n">
        <x:f>IF($A121&lt;='Premissas'!$B$11,D121*C121*'Premissas'!$B$9,"")</x:f>
        <x:v>2024.8596613116115</x:v>
      </x:c>
      <x:c r="G121" s="78" t="n">
        <x:f>IF($A121&lt;='Premissas'!$B$11,D121*C121*'Premissas'!$B$14,"")</x:f>
        <x:v>0</x:v>
      </x:c>
      <x:c r="H121" s="78" t="n">
        <x:f>IF($A121&lt;='Premissas'!$B$11,MAX(F121-G121,0),"")</x:f>
        <x:v>2024.8596613116115</x:v>
      </x:c>
      <x:c r="I121" s="78" t="n">
        <x:f>IF($A121&lt;='Premissas'!$B$11,IF('Premissas'!$B$12="Sim",H121,0),"")</x:f>
        <x:v>2024.8596613116115</x:v>
      </x:c>
      <x:c r="J121" s="75" t="n">
        <x:f>IF($A121&lt;='Premissas'!$B$11,(E121+I121)/C121,"")</x:f>
        <x:v>23.943178935113906</x:v>
      </x:c>
      <x:c r="K121" s="75" t="n">
        <x:f>IF($A121&lt;='Premissas'!$B$11,D121+J121,"")</x:f>
        <x:v>2027.4070837802037</x:v>
      </x:c>
      <x:c r="L121" s="78" t="n">
        <x:f>IF($A121&lt;='Premissas'!$B$11,K121*C121,"")</x:f>
        <x:v>256132.31732526305</x:v>
      </x:c>
      <x:c r="M121" s="78" t="n">
        <x:f>IF($A121&lt;='Premissas'!$B$11,IF($A121=1,'Premissas'!$B$6+E121,M120+E121),"")</x:f>
        <x:v>128000</x:v>
      </x:c>
      <x:c r="N121" s="78" t="n">
        <x:f>IF($A121&lt;='Premissas'!$B$11,IF($A121=1,H121,N120+H121),"")</x:f>
        <x:v>102562.76514370096</x:v>
      </x:c>
      <x:c r="O121" s="78" t="n">
        <x:f>IF($A121&lt;='Premissas'!$B$11,IF($A121=1,IF('Premissas'!$B$12="Sim",0,H121),O120+IF('Premissas'!$B$12="Sim",0,H121)),"")</x:f>
        <x:v>0</x:v>
      </x:c>
      <x:c r="P121" s="81" t="n">
        <x:f>IF($A121&lt;='Premissas'!$B$11,IF(M121=0,0,(L121+O121)/M121-1),"")</x:f>
        <x:v>1.0010337291036175</x:v>
      </x:c>
      <x:c r="Q121" s="84" t="str">
        <x:f>IF($A121&lt;='Premissas'!$B$11,"Ativo","Fora")</x:f>
        <x:v>Ativo</x:v>
      </x:c>
    </x:row>
    <x:row r="122">
      <x:c r="A122" s="66" t="n">
        <x:v>119</x:v>
      </x:c>
      <x:c r="B122" s="69" t="n">
        <x:f>IF($A122&lt;='Premissas'!$B$11,EDATE('Premissas'!$B$13,$A122-1),"")</x:f>
        <x:v>49857</x:v>
      </x:c>
      <x:c r="C122" s="72" t="n">
        <x:f>IF($A122&lt;='Premissas'!$B$11,'Premissas'!$B$8*(1+'Premissas'!$B$10)^($A122-1),"")</x:f>
        <x:v>126.5875926019686</x:v>
      </x:c>
      <x:c r="D122" s="75" t="n">
        <x:f>IF($A122&lt;='Premissas'!$B$11,IF($A122=1,'Premissas'!$B$6/'Premissas'!$B$8,K121),"")</x:f>
        <x:v>2027.4070837802037</x:v>
      </x:c>
      <x:c r="E122" s="78" t="n">
        <x:f>IF($A122&lt;='Premissas'!$B$11,'Premissas'!$B$7,"")</x:f>
        <x:v>1000</x:v>
      </x:c>
      <x:c r="F122" s="78" t="n">
        <x:f>IF($A122&lt;='Premissas'!$B$11,D122*C122*'Premissas'!$B$9,"")</x:f>
        <x:v>2053.156655679309</x:v>
      </x:c>
      <x:c r="G122" s="78" t="n">
        <x:f>IF($A122&lt;='Premissas'!$B$11,D122*C122*'Premissas'!$B$14,"")</x:f>
        <x:v>0</x:v>
      </x:c>
      <x:c r="H122" s="78" t="n">
        <x:f>IF($A122&lt;='Premissas'!$B$11,MAX(F122-G122,0),"")</x:f>
        <x:v>2053.156655679309</x:v>
      </x:c>
      <x:c r="I122" s="78" t="n">
        <x:f>IF($A122&lt;='Premissas'!$B$11,IF('Premissas'!$B$12="Sim",H122,0),"")</x:f>
        <x:v>2053.156655679309</x:v>
      </x:c>
      <x:c r="J122" s="75" t="n">
        <x:f>IF($A122&lt;='Premissas'!$B$11,(E122+I122)/C122,"")</x:f>
        <x:v>24.118925029875548</x:v>
      </x:c>
      <x:c r="K122" s="75" t="n">
        <x:f>IF($A122&lt;='Premissas'!$B$11,D122+J122,"")</x:f>
        <x:v>2051.5260088100795</x:v>
      </x:c>
      <x:c r="L122" s="78" t="n">
        <x:f>IF($A122&lt;='Premissas'!$B$11,K122*C122,"")</x:f>
        <x:v>259697.73861559297</x:v>
      </x:c>
      <x:c r="M122" s="78" t="n">
        <x:f>IF($A122&lt;='Premissas'!$B$11,IF($A122=1,'Premissas'!$B$6+E122,M121+E122),"")</x:f>
        <x:v>129000</x:v>
      </x:c>
      <x:c r="N122" s="78" t="n">
        <x:f>IF($A122&lt;='Premissas'!$B$11,IF($A122=1,H122,N121+H122),"")</x:f>
        <x:v>104615.92179938027</x:v>
      </x:c>
      <x:c r="O122" s="78" t="n">
        <x:f>IF($A122&lt;='Premissas'!$B$11,IF($A122=1,IF('Premissas'!$B$12="Sim",0,H122),O121+IF('Premissas'!$B$12="Sim",0,H122)),"")</x:f>
        <x:v>0</x:v>
      </x:c>
      <x:c r="P122" s="81" t="n">
        <x:f>IF($A122&lt;='Premissas'!$B$11,IF(M122=0,0,(L122+O122)/M122-1),"")</x:f>
        <x:v>1.013160764461961</x:v>
      </x:c>
      <x:c r="Q122" s="84" t="str">
        <x:f>IF($A122&lt;='Premissas'!$B$11,"Ativo","Fora")</x:f>
        <x:v>Ativo</x:v>
      </x:c>
    </x:row>
    <x:row r="123">
      <x:c r="A123" s="67" t="n">
        <x:v>120</x:v>
      </x:c>
      <x:c r="B123" s="70" t="n">
        <x:f>IF($A123&lt;='Premissas'!$B$11,EDATE('Premissas'!$B$13,$A123-1),"")</x:f>
        <x:v>49888</x:v>
      </x:c>
      <x:c r="C123" s="73" t="n">
        <x:f>IF($A123&lt;='Premissas'!$B$11,'Premissas'!$B$8*(1+'Premissas'!$B$10)^($A123-1),"")</x:f>
        <x:v>126.84076778717252</x:v>
      </x:c>
      <x:c r="D123" s="76" t="n">
        <x:f>IF($A123&lt;='Premissas'!$B$11,IF($A123=1,'Premissas'!$B$6/'Premissas'!$B$8,K122),"")</x:f>
        <x:v>2051.5260088100795</x:v>
      </x:c>
      <x:c r="E123" s="79" t="n">
        <x:f>IF($A123&lt;='Premissas'!$B$11,'Premissas'!$B$7,"")</x:f>
        <x:v>1000</x:v>
      </x:c>
      <x:c r="F123" s="79" t="n">
        <x:f>IF($A123&lt;='Premissas'!$B$11,D123*C123*'Premissas'!$B$9,"")</x:f>
        <x:v>2081.737072742593</x:v>
      </x:c>
      <x:c r="G123" s="79" t="n">
        <x:f>IF($A123&lt;='Premissas'!$B$11,D123*C123*'Premissas'!$B$14,"")</x:f>
        <x:v>0</x:v>
      </x:c>
      <x:c r="H123" s="79" t="n">
        <x:f>IF($A123&lt;='Premissas'!$B$11,MAX(F123-G123,0),"")</x:f>
        <x:v>2081.737072742593</x:v>
      </x:c>
      <x:c r="I123" s="79" t="n">
        <x:f>IF($A123&lt;='Premissas'!$B$11,IF('Premissas'!$B$12="Sim",H123,0),"")</x:f>
        <x:v>2081.737072742593</x:v>
      </x:c>
      <x:c r="J123" s="76" t="n">
        <x:f>IF($A123&lt;='Premissas'!$B$11,(E123+I123)/C123,"")</x:f>
        <x:v>24.296108628997523</x:v>
      </x:c>
      <x:c r="K123" s="76" t="n">
        <x:f>IF($A123&lt;='Premissas'!$B$11,D123+J123,"")</x:f>
        <x:v>2075.822117439077</x:v>
      </x:c>
      <x:c r="L123" s="79" t="n">
        <x:f>IF($A123&lt;='Premissas'!$B$11,K123*C123,"")</x:f>
        <x:v>263298.8711655667</x:v>
      </x:c>
      <x:c r="M123" s="79" t="n">
        <x:f>IF($A123&lt;='Premissas'!$B$11,IF($A123=1,'Premissas'!$B$6+E123,M122+E123),"")</x:f>
        <x:v>130000</x:v>
      </x:c>
      <x:c r="N123" s="79" t="n">
        <x:f>IF($A123&lt;='Premissas'!$B$11,IF($A123=1,H123,N122+H123),"")</x:f>
        <x:v>106697.65887212286</x:v>
      </x:c>
      <x:c r="O123" s="79" t="n">
        <x:f>IF($A123&lt;='Premissas'!$B$11,IF($A123=1,IF('Premissas'!$B$12="Sim",0,H123),O122+IF('Premissas'!$B$12="Sim",0,H123)),"")</x:f>
        <x:v>0</x:v>
      </x:c>
      <x:c r="P123" s="82" t="n">
        <x:f>IF($A123&lt;='Premissas'!$B$11,IF(M123=0,0,(L123+O123)/M123-1),"")</x:f>
        <x:v>1.025375932042821</x:v>
      </x:c>
      <x:c r="Q123" s="85" t="str">
        <x:f>IF($A123&lt;='Premissas'!$B$11,"Ativo","Fora")</x:f>
        <x:v>Ativo</x:v>
      </x:c>
    </x:row>
  </x:sheetData>
  <x:mergeCells>
    <x:mergeCell ref="A1:Q1"/>
    <x:mergeCell ref="A2:Q2"/>
  </x:mergeCells>
  <x:conditionalFormatting sqref="Q4:Q123">
    <x:cfRule type="containsText" dxfId="0" priority="1" operator="containsText" text="Ativo"/>
    <x:cfRule type="containsText" dxfId="1" priority="2" operator="containsText" text="Fora"/>
  </x:conditionalFormatting>
  <x:pageMargins left="0.7" right="0.7" top="0.75" bottom="0.75" header="0.3" footer="0.3"/>
  <x:tableParts count="1">
    <x:tablePart xmlns:r="http://schemas.openxmlformats.org/officeDocument/2006/relationships" r:id="Ra80da31640c847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20" hidden="0" customWidth="1"/>
  </x:cols>
  <x:sheetData>
    <x:row r="1" ht="34" customHeight="1">
      <x:c r="A1" s="4" t="str">
        <x:v>Checagens do modelo</x:v>
      </x:c>
      <x:c r="B1" s="4" t="str">
        <x:v>Checagens do modelo</x:v>
      </x:c>
      <x:c r="C1" s="4" t="str">
        <x:v>Checagens do modelo</x:v>
      </x:c>
      <x:c r="D1" s="4" t="str">
        <x:v>Checagens do modelo</x:v>
      </x:c>
      <x:c r="E1" s="4" t="str">
        <x:v>Checagens do modelo</x:v>
      </x:c>
      <x:c r="F1" s="4" t="str">
        <x:v>Checagens do modelo</x:v>
      </x:c>
    </x:row>
    <x:row r="2">
      <x:c r="A2" s="86" t="str">
        <x:v>Status geral</x:v>
      </x:c>
      <x:c r="B2" s="87" t="str">
        <x:f>IF(COUNTIF(E5:E10,"Revisar")=0,"OK","Revisar")</x:f>
        <x:v>OK</x:v>
      </x:c>
    </x:row>
    <x:row r="4">
      <x:c r="A4" s="16" t="str">
        <x:v>Checagem</x:v>
      </x:c>
      <x:c r="B4" s="17" t="str">
        <x:v>Atual</x:v>
      </x:c>
      <x:c r="C4" s="17" t="str">
        <x:v>Esperado</x:v>
      </x:c>
      <x:c r="D4" s="17" t="str">
        <x:v>Diferenca</x:v>
      </x:c>
      <x:c r="E4" s="17" t="str">
        <x:v>Status</x:v>
      </x:c>
      <x:c r="F4" s="18" t="str">
        <x:v>Onde ajustar</x:v>
      </x:c>
    </x:row>
    <x:row r="5">
      <x:c r="A5" s="88" t="str">
        <x:v>Horizonte dentro do limite</x:v>
      </x:c>
      <x:c r="B5" s="90" t="n">
        <x:f>'Premissas'!$B$11</x:f>
        <x:v>120</x:v>
      </x:c>
      <x:c r="C5" s="64" t="str">
        <x:v>1 a 120 meses</x:v>
      </x:c>
      <x:c r="D5" s="65" t="n">
        <x:f>IF(AND(B5&gt;=1,B5&lt;=120),0,1)</x:f>
        <x:v>0</x:v>
      </x:c>
      <x:c r="E5" s="97" t="str">
        <x:f>IF(D5=0,"OK","Revisar")</x:f>
        <x:v>OK</x:v>
      </x:c>
      <x:c r="F5" s="89" t="str">
        <x:v>Premissas!B11</x:v>
      </x:c>
    </x:row>
    <x:row r="6">
      <x:c r="A6" s="22" t="str">
        <x:v>Preco medio por cota maior que zero</x:v>
      </x:c>
      <x:c r="B6" s="91" t="n">
        <x:f>'Premissas'!$B$8</x:f>
        <x:v>100</x:v>
      </x:c>
      <x:c r="C6" s="23" t="str">
        <x:v>&gt; 0</x:v>
      </x:c>
      <x:c r="D6" s="66" t="n">
        <x:f>IF(B6&gt;0,0,1)</x:f>
        <x:v>0</x:v>
      </x:c>
      <x:c r="E6" s="98" t="str">
        <x:f>IF(D6=0,"OK","Revisar")</x:f>
        <x:v>OK</x:v>
      </x:c>
      <x:c r="F6" s="24" t="str">
        <x:v>Premissas!B8</x:v>
      </x:c>
    </x:row>
    <x:row r="7">
      <x:c r="A7" s="22" t="str">
        <x:v>Aportes nao negativos</x:v>
      </x:c>
      <x:c r="B7" s="91" t="n">
        <x:f>MIN('Premissas'!$B$6:$B$7)</x:f>
        <x:v>1000</x:v>
      </x:c>
      <x:c r="C7" s="23" t="str">
        <x:v>&gt;= 0</x:v>
      </x:c>
      <x:c r="D7" s="66" t="n">
        <x:f>IF(B7&gt;=0,0,1)</x:f>
        <x:v>0</x:v>
      </x:c>
      <x:c r="E7" s="98" t="str">
        <x:f>IF(D7=0,"OK","Revisar")</x:f>
        <x:v>OK</x:v>
      </x:c>
      <x:c r="F7" s="24" t="str">
        <x:v>Premissas!B6:B7</x:v>
      </x:c>
    </x:row>
    <x:row r="8">
      <x:c r="A8" s="22" t="str">
        <x:v>Dividend yield nao negativo</x:v>
      </x:c>
      <x:c r="B8" s="92" t="n">
        <x:f>'Premissas'!$B$9</x:f>
        <x:v>0.008</x:v>
      </x:c>
      <x:c r="C8" s="23" t="str">
        <x:v>&gt;= 0%</x:v>
      </x:c>
      <x:c r="D8" s="66" t="n">
        <x:f>IF(B8&gt;=0,0,1)</x:f>
        <x:v>0</x:v>
      </x:c>
      <x:c r="E8" s="98" t="str">
        <x:f>IF(D8=0,"OK","Revisar")</x:f>
        <x:v>OK</x:v>
      </x:c>
      <x:c r="F8" s="24" t="str">
        <x:v>Premissas!B9</x:v>
      </x:c>
    </x:row>
    <x:row r="9">
      <x:c r="A9" s="22" t="str">
        <x:v>Valorizacao mensal acima de -100%</x:v>
      </x:c>
      <x:c r="B9" s="92" t="n">
        <x:f>'Premissas'!$B$10</x:f>
        <x:v>0.002</x:v>
      </x:c>
      <x:c r="C9" s="23" t="str">
        <x:v>&gt; -100%</x:v>
      </x:c>
      <x:c r="D9" s="66" t="n">
        <x:f>IF(B9&gt;-100%,0,1)</x:f>
        <x:v>0</x:v>
      </x:c>
      <x:c r="E9" s="98" t="str">
        <x:f>IF(D9=0,"OK","Revisar")</x:f>
        <x:v>OK</x:v>
      </x:c>
      <x:c r="F9" s="24" t="str">
        <x:v>Premissas!B10</x:v>
      </x:c>
    </x:row>
    <x:row r="10">
      <x:c r="A10" s="25" t="str">
        <x:v>Custos/taxas nao negativos</x:v>
      </x:c>
      <x:c r="B10" s="93" t="n">
        <x:f>'Premissas'!$B$14</x:f>
        <x:v>0</x:v>
      </x:c>
      <x:c r="C10" s="26" t="str">
        <x:v>&gt;= 0%</x:v>
      </x:c>
      <x:c r="D10" s="67" t="n">
        <x:f>IF(B10&gt;=0,0,1)</x:f>
        <x:v>0</x:v>
      </x:c>
      <x:c r="E10" s="99" t="str">
        <x:f>IF(D10=0,"OK","Revisar")</x:f>
        <x:v>OK</x:v>
      </x:c>
      <x:c r="F10" s="27" t="str">
        <x:v>Premissas!B14</x:v>
      </x:c>
    </x:row>
  </x:sheetData>
  <x:mergeCells>
    <x:mergeCell ref="A1:F1"/>
  </x:mergeCells>
  <x:conditionalFormatting sqref="B2:B2">
    <x:cfRule type="containsText" dxfId="2" priority="1" operator="containsText" text="OK"/>
    <x:cfRule type="containsText" dxfId="3" priority="2" operator="containsText" text="Revisar"/>
  </x:conditionalFormatting>
  <x:conditionalFormatting sqref="E5:E10">
    <x:cfRule type="containsText" dxfId="4" priority="3" operator="containsText" text="OK"/>
    <x:cfRule type="containsText" dxfId="5" priority="4" operator="containsText" text="Revisar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</x:cols>
  <x:sheetData>
    <x:row r="1" ht="34" customHeight="1">
      <x:c r="A1" s="4" t="str">
        <x:v>Fontes e premissas</x:v>
      </x:c>
      <x:c r="B1" s="4" t="str">
        <x:v>Fontes e premissas</x:v>
      </x:c>
      <x:c r="C1" s="4" t="str">
        <x:v>Fontes e premissas</x:v>
      </x:c>
      <x:c r="D1" s="4" t="str">
        <x:v>Fontes e premissas</x:v>
      </x:c>
      <x:c r="E1" s="4" t="str">
        <x:v>Fontes e premissas</x:v>
      </x:c>
      <x:c r="F1" s="4" t="str">
        <x:v>Fontes e premissas</x:v>
      </x:c>
      <x:c r="G1" s="4" t="str">
        <x:v>Fontes e premissas</x:v>
      </x:c>
    </x:row>
    <x:row r="3">
      <x:c r="A3" s="16" t="str">
        <x:v>Item</x:v>
      </x:c>
      <x:c r="B3" s="17" t="str">
        <x:v>Valor</x:v>
      </x:c>
      <x:c r="C3" s="17" t="str">
        <x:v>Unidade</x:v>
      </x:c>
      <x:c r="D3" s="17" t="str">
        <x:v>Periodo/as-of</x:v>
      </x:c>
      <x:c r="E3" s="17" t="str">
        <x:v>Tipo</x:v>
      </x:c>
      <x:c r="F3" s="17" t="str">
        <x:v>Fonte</x:v>
      </x:c>
      <x:c r="G3" s="18" t="str">
        <x:v>Observacoes</x:v>
      </x:c>
    </x:row>
    <x:row r="4">
      <x:c r="A4" s="88" t="str">
        <x:v>Valor inicial investido</x:v>
      </x:c>
      <x:c r="B4" s="77" t="n">
        <x:f>'Premissas'!$B$6</x:f>
        <x:v>10000</x:v>
      </x:c>
      <x:c r="C4" s="64" t="str">
        <x:v>R$</x:v>
      </x:c>
      <x:c r="D4" s="64" t="str">
        <x:v>2026-09-16</x:v>
      </x:c>
      <x:c r="E4" s="64" t="str">
        <x:v>Premissa do usuario</x:v>
      </x:c>
      <x:c r="F4" s="64" t="str">
        <x:v>Premissas!B6</x:v>
      </x:c>
      <x:c r="G4" s="100" t="str">
        <x:v>Valor editavel usado como capital inicial.</x:v>
      </x:c>
    </x:row>
    <x:row r="5">
      <x:c r="A5" s="22" t="str">
        <x:v>Aporte mensal</x:v>
      </x:c>
      <x:c r="B5" s="78" t="n">
        <x:f>'Premissas'!$B$7</x:f>
        <x:v>1000</x:v>
      </x:c>
      <x:c r="C5" s="23" t="str">
        <x:v>R$/mes</x:v>
      </x:c>
      <x:c r="D5" s="23" t="str">
        <x:v>2026-09-16</x:v>
      </x:c>
      <x:c r="E5" s="23" t="str">
        <x:v>Premissa do usuario</x:v>
      </x:c>
      <x:c r="F5" s="23" t="str">
        <x:v>Premissas!B7</x:v>
      </x:c>
      <x:c r="G5" s="101" t="str">
        <x:v>Valor editavel de aporte recorrente.</x:v>
      </x:c>
    </x:row>
    <x:row r="6">
      <x:c r="A6" s="22" t="str">
        <x:v>Preco medio por cota</x:v>
      </x:c>
      <x:c r="B6" s="78" t="n">
        <x:f>'Premissas'!$B$8</x:f>
        <x:v>100</x:v>
      </x:c>
      <x:c r="C6" s="23" t="str">
        <x:v>R$/cota</x:v>
      </x:c>
      <x:c r="D6" s="23" t="str">
        <x:v>2026-09-16</x:v>
      </x:c>
      <x:c r="E6" s="23" t="str">
        <x:v>Premissa do usuario</x:v>
      </x:c>
      <x:c r="F6" s="23" t="str">
        <x:v>Premissas!B8</x:v>
      </x:c>
      <x:c r="G6" s="101" t="str">
        <x:v>Preco inicial estimado; personalize conforme o FII analisado.</x:v>
      </x:c>
    </x:row>
    <x:row r="7">
      <x:c r="A7" s="22" t="str">
        <x:v>Dividend yield mensal estimado</x:v>
      </x:c>
      <x:c r="B7" s="92" t="n">
        <x:f>'Premissas'!$B$9</x:f>
        <x:v>0.008</x:v>
      </x:c>
      <x:c r="C7" s="23" t="str">
        <x:v>% a.m.</x:v>
      </x:c>
      <x:c r="D7" s="23" t="str">
        <x:v>2026-09-16</x:v>
      </x:c>
      <x:c r="E7" s="23" t="str">
        <x:v>Premissa do usuario</x:v>
      </x:c>
      <x:c r="F7" s="23" t="str">
        <x:v>Premissas!B9</x:v>
      </x:c>
      <x:c r="G7" s="101" t="str">
        <x:v>Premissa simplificada, sem garantia de recorrencia.</x:v>
      </x:c>
    </x:row>
    <x:row r="8">
      <x:c r="A8" s="22" t="str">
        <x:v>Valorizacao mensal da cota</x:v>
      </x:c>
      <x:c r="B8" s="92" t="n">
        <x:f>'Premissas'!$B$10</x:f>
        <x:v>0.002</x:v>
      </x:c>
      <x:c r="C8" s="23" t="str">
        <x:v>% a.m.</x:v>
      </x:c>
      <x:c r="D8" s="23" t="str">
        <x:v>2026-09-16</x:v>
      </x:c>
      <x:c r="E8" s="23" t="str">
        <x:v>Premissa do usuario</x:v>
      </x:c>
      <x:c r="F8" s="23" t="str">
        <x:v>Premissas!B10</x:v>
      </x:c>
      <x:c r="G8" s="101" t="str">
        <x:v>Pode ser negativa para simular queda de preco.</x:v>
      </x:c>
    </x:row>
    <x:row r="9">
      <x:c r="A9" s="22" t="str">
        <x:v>Horizonte da simulacao</x:v>
      </x:c>
      <x:c r="B9" s="66" t="n">
        <x:f>'Premissas'!$B$11</x:f>
        <x:v>120</x:v>
      </x:c>
      <x:c r="C9" s="23" t="str">
        <x:v>meses</x:v>
      </x:c>
      <x:c r="D9" s="23" t="str">
        <x:v>2026-09-16</x:v>
      </x:c>
      <x:c r="E9" s="23" t="str">
        <x:v>Premissa do usuario</x:v>
      </x:c>
      <x:c r="F9" s="23" t="str">
        <x:v>Premissas!B11</x:v>
      </x:c>
      <x:c r="G9" s="101" t="str">
        <x:v>Modelo preparado para ate 120 meses.</x:v>
      </x:c>
    </x:row>
    <x:row r="10">
      <x:c r="A10" s="22" t="str">
        <x:v>Reinvestir dividendos?</x:v>
      </x:c>
      <x:c r="B10" s="23" t="str">
        <x:f>'Premissas'!$B$12</x:f>
        <x:v>Sim</x:v>
      </x:c>
      <x:c r="C10" s="23" t="str">
        <x:v>Sim/Nao</x:v>
      </x:c>
      <x:c r="D10" s="23" t="str">
        <x:v>2026-09-16</x:v>
      </x:c>
      <x:c r="E10" s="23" t="str">
        <x:v>Premissa do usuario</x:v>
      </x:c>
      <x:c r="F10" s="23" t="str">
        <x:v>Premissas!B12</x:v>
      </x:c>
      <x:c r="G10" s="101" t="str">
        <x:v>Controla se dividendos compram novas cotas.</x:v>
      </x:c>
    </x:row>
    <x:row r="11">
      <x:c r="A11" s="22" t="str">
        <x:v>Mes inicial</x:v>
      </x:c>
      <x:c r="B11" s="69" t="n">
        <x:f>'Premissas'!$B$13</x:f>
        <x:v>46266</x:v>
      </x:c>
      <x:c r="C11" s="23" t="str">
        <x:v>data</x:v>
      </x:c>
      <x:c r="D11" s="23" t="str">
        <x:v>2026-09-16</x:v>
      </x:c>
      <x:c r="E11" s="23" t="str">
        <x:v>Premissa do usuario</x:v>
      </x:c>
      <x:c r="F11" s="23" t="str">
        <x:v>Premissas!B13</x:v>
      </x:c>
      <x:c r="G11" s="101" t="str">
        <x:v>Rotulo temporal dos periodos.</x:v>
      </x:c>
    </x:row>
    <x:row r="12">
      <x:c r="A12" s="25" t="str">
        <x:v>Custos/taxas mensais</x:v>
      </x:c>
      <x:c r="B12" s="93" t="n">
        <x:f>'Premissas'!$B$14</x:f>
        <x:v>0</x:v>
      </x:c>
      <x:c r="C12" s="26" t="str">
        <x:v>% a.m.</x:v>
      </x:c>
      <x:c r="D12" s="26" t="str">
        <x:v>2026-09-16</x:v>
      </x:c>
      <x:c r="E12" s="26" t="str">
        <x:v>Premissa do usuario</x:v>
      </x:c>
      <x:c r="F12" s="26" t="str">
        <x:v>Premissas!B14</x:v>
      </x:c>
      <x:c r="G12" s="102" t="str">
        <x:v>Campo opcional para custos mensais estimados.</x:v>
      </x:c>
    </x:row>
  </x:sheetData>
  <x:mergeCells>
    <x:mergeCell ref="A1:G1"/>
  </x:mergeCells>
  <x:pageMargins left="0.7" right="0.7" top="0.75" bottom="0.75" header="0.3" footer="0.3"/>
</x:worksheet>
</file>